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schellinger\SJTPO_Git\SJTDM_TAZ_Migration\docs\standards\"/>
    </mc:Choice>
  </mc:AlternateContent>
  <xr:revisionPtr revIDLastSave="0" documentId="13_ncr:1_{6E9025B6-D93D-495D-88BB-DF702857C25D}" xr6:coauthVersionLast="47" xr6:coauthVersionMax="47" xr10:uidLastSave="{00000000-0000-0000-0000-000000000000}"/>
  <bookViews>
    <workbookView xWindow="-1500" yWindow="930" windowWidth="29010" windowHeight="14370" activeTab="5" xr2:uid="{00000000-000D-0000-FFFF-FFFF00000000}"/>
  </bookViews>
  <sheets>
    <sheet name="Dashboard" sheetId="1" r:id="rId1"/>
    <sheet name="Task_Register" sheetId="2" r:id="rId2"/>
    <sheet name="File_Mirroring" sheetId="3" r:id="rId3"/>
    <sheet name="Data_Inventory" sheetId="4" r:id="rId4"/>
    <sheet name="Standards_Compliance" sheetId="5" r:id="rId5"/>
    <sheet name="QAQC_Register" sheetId="6" r:id="rId6"/>
    <sheet name="Lookup_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</calcChain>
</file>

<file path=xl/sharedStrings.xml><?xml version="1.0" encoding="utf-8"?>
<sst xmlns="http://schemas.openxmlformats.org/spreadsheetml/2006/main" count="597" uniqueCount="331">
  <si>
    <t>SJTDM TAZ Migration and Data Validation – Project Control Workbook</t>
  </si>
  <si>
    <t>Project</t>
  </si>
  <si>
    <t>SJTDM TAZ Migration and Data Validation</t>
  </si>
  <si>
    <t>Metric</t>
  </si>
  <si>
    <t>Formula / Source</t>
  </si>
  <si>
    <t>Current Count</t>
  </si>
  <si>
    <t>Notes</t>
  </si>
  <si>
    <t>Action</t>
  </si>
  <si>
    <t>Lead</t>
  </si>
  <si>
    <t>Kent Schellinger</t>
  </si>
  <si>
    <t>Open Tasks</t>
  </si>
  <si>
    <t>Task_Register Status not Complete</t>
  </si>
  <si>
    <t>Formula driven</t>
  </si>
  <si>
    <t>Review weekly</t>
  </si>
  <si>
    <t>Current Phase</t>
  </si>
  <si>
    <t>Data Inventory and System Documentation</t>
  </si>
  <si>
    <t>Blocked Tasks</t>
  </si>
  <si>
    <t>Task_Register Status = Blocked</t>
  </si>
  <si>
    <t>Resolve blockers</t>
  </si>
  <si>
    <t>Workbook Purpose</t>
  </si>
  <si>
    <t>Track files, mirroring, tasks, standards compliance, and QA/QC exceptions</t>
  </si>
  <si>
    <t>Files Requiring Mirror</t>
  </si>
  <si>
    <t>File_Mirroring MirrorRequired = Yes</t>
  </si>
  <si>
    <t>Confirm target path</t>
  </si>
  <si>
    <t>Created</t>
  </si>
  <si>
    <t>Files Not Mirrored</t>
  </si>
  <si>
    <t>Mirror required but status not Mirrored</t>
  </si>
  <si>
    <t>Copy to standard location</t>
  </si>
  <si>
    <t>Repository</t>
  </si>
  <si>
    <t>SJTDM_TAZ_Migration</t>
  </si>
  <si>
    <t>Open QA/QC Exceptions</t>
  </si>
  <si>
    <t>QAQC_Register Status not Complete/N/A</t>
  </si>
  <si>
    <t>Review exceptions</t>
  </si>
  <si>
    <t>Authoritative GIS Products</t>
  </si>
  <si>
    <t>Mirrored to SJTPO GIS standard locations as required</t>
  </si>
  <si>
    <t>Standards Items Incomplete</t>
  </si>
  <si>
    <t>Standards_Compliance Status not Complete/N/A</t>
  </si>
  <si>
    <t>Update compliance</t>
  </si>
  <si>
    <t>TaskID</t>
  </si>
  <si>
    <t>Phase</t>
  </si>
  <si>
    <t>Task</t>
  </si>
  <si>
    <t>Owner</t>
  </si>
  <si>
    <t>Priority</t>
  </si>
  <si>
    <t>DueDate</t>
  </si>
  <si>
    <t>Status</t>
  </si>
  <si>
    <t>Dependency</t>
  </si>
  <si>
    <t>Deliverable</t>
  </si>
  <si>
    <t>RepoPath</t>
  </si>
  <si>
    <t>SJTPOStandardPath</t>
  </si>
  <si>
    <t>T-001</t>
  </si>
  <si>
    <t>Project Foundation</t>
  </si>
  <si>
    <t>Kent</t>
  </si>
  <si>
    <t>High</t>
  </si>
  <si>
    <t>In Progress</t>
  </si>
  <si>
    <t>README.md</t>
  </si>
  <si>
    <t>Initial repo created.</t>
  </si>
  <si>
    <t>T-002</t>
  </si>
  <si>
    <t>Not Started</t>
  </si>
  <si>
    <t>Project Charter</t>
  </si>
  <si>
    <t>docs/charter/project_charter.md</t>
  </si>
  <si>
    <t>T-003</t>
  </si>
  <si>
    <t>Standards</t>
  </si>
  <si>
    <t>File mirroring tracker</t>
  </si>
  <si>
    <t>docs/standards/file_mirroring_inventory.xlsx</t>
  </si>
  <si>
    <t>This workbook is first draft.</t>
  </si>
  <si>
    <t>T-004</t>
  </si>
  <si>
    <t>Data Inventory</t>
  </si>
  <si>
    <t>Database inventory</t>
  </si>
  <si>
    <t>data/raw/Access</t>
  </si>
  <si>
    <t>T-005</t>
  </si>
  <si>
    <t>T-006</t>
  </si>
  <si>
    <t>Medium</t>
  </si>
  <si>
    <t>docs/source_documents</t>
  </si>
  <si>
    <t>T-007</t>
  </si>
  <si>
    <t>Model Discovery</t>
  </si>
  <si>
    <t>data/intermediate/Inventories</t>
  </si>
  <si>
    <t>T-008</t>
  </si>
  <si>
    <t>docs/methodology</t>
  </si>
  <si>
    <t>T-009</t>
  </si>
  <si>
    <t>Crosswalk</t>
  </si>
  <si>
    <t>T-010</t>
  </si>
  <si>
    <t>FileName</t>
  </si>
  <si>
    <t>FileType</t>
  </si>
  <si>
    <t>ProjectRepoPath</t>
  </si>
  <si>
    <t>AuthoritativeLocation</t>
  </si>
  <si>
    <t>MirrorRequired</t>
  </si>
  <si>
    <t>LastMirroredDate</t>
  </si>
  <si>
    <t>RelatedTaskID</t>
  </si>
  <si>
    <t>Markdown</t>
  </si>
  <si>
    <t>Git Repository</t>
  </si>
  <si>
    <t>No</t>
  </si>
  <si>
    <t>N/A</t>
  </si>
  <si>
    <t>Project overview only.</t>
  </si>
  <si>
    <t>project_charter.md</t>
  </si>
  <si>
    <t>Create next.</t>
  </si>
  <si>
    <t>file_mirroring_inventory.xlsx</t>
  </si>
  <si>
    <t>Excel</t>
  </si>
  <si>
    <t>TBD</t>
  </si>
  <si>
    <t>Yes</t>
  </si>
  <si>
    <t>This workbook; mirror path to be confirmed.</t>
  </si>
  <si>
    <t>SJTPO GIS Data Management Standards Memorandum</t>
  </si>
  <si>
    <t>PDF</t>
  </si>
  <si>
    <t>docs/source_documents/GIS_Standards</t>
  </si>
  <si>
    <t>SJTPO GIS Standard Location</t>
  </si>
  <si>
    <t>Copy authoritative document to expected standard location and reference copy in repo.</t>
  </si>
  <si>
    <t>SJTDM_INPUTS.accdb</t>
  </si>
  <si>
    <t>Access</t>
  </si>
  <si>
    <t>Likely too large/binary for meaningful Git versioning; track location and version.</t>
  </si>
  <si>
    <t>Cube table inventory workbook</t>
  </si>
  <si>
    <t>Placeholder for existing discovered table inventory.</t>
  </si>
  <si>
    <t>TAZ comparison workbook</t>
  </si>
  <si>
    <t>data/intermediate/QAQC</t>
  </si>
  <si>
    <t>Placeholder for existing QA/QC workbook.</t>
  </si>
  <si>
    <t>InventoryID</t>
  </si>
  <si>
    <t>DatasetOrTable</t>
  </si>
  <si>
    <t>SourceType</t>
  </si>
  <si>
    <t>SourceSystem</t>
  </si>
  <si>
    <t>PrimaryKey</t>
  </si>
  <si>
    <t>TemporalVintage</t>
  </si>
  <si>
    <t>GeographicLevel</t>
  </si>
  <si>
    <t>ModelUse</t>
  </si>
  <si>
    <t>DI-001</t>
  </si>
  <si>
    <t>Legacy SJTDM TAZ socioeconomic inputs</t>
  </si>
  <si>
    <t>Access/Table</t>
  </si>
  <si>
    <t>TAZ</t>
  </si>
  <si>
    <t>Legacy model</t>
  </si>
  <si>
    <t>Trip generation / attraction</t>
  </si>
  <si>
    <t>DI-002</t>
  </si>
  <si>
    <t>Cube Voyager input tables</t>
  </si>
  <si>
    <t>Cube/Database</t>
  </si>
  <si>
    <t>SJTDM Cube model</t>
  </si>
  <si>
    <t>Varies</t>
  </si>
  <si>
    <t>TAZ / Network</t>
  </si>
  <si>
    <t>Model execution</t>
  </si>
  <si>
    <t>DI-003</t>
  </si>
  <si>
    <t>2010 Census Blocks</t>
  </si>
  <si>
    <t>GIS/Census</t>
  </si>
  <si>
    <t>US Census</t>
  </si>
  <si>
    <t>data/raw/Census</t>
  </si>
  <si>
    <t>GEOID10</t>
  </si>
  <si>
    <t>2010</t>
  </si>
  <si>
    <t>Block</t>
  </si>
  <si>
    <t>Legacy geographic relationship</t>
  </si>
  <si>
    <t>DI-004</t>
  </si>
  <si>
    <t>2020 Census Blocks</t>
  </si>
  <si>
    <t>GEOID20</t>
  </si>
  <si>
    <t>2020</t>
  </si>
  <si>
    <t>New TAZ construction</t>
  </si>
  <si>
    <t>DI-005</t>
  </si>
  <si>
    <t>DI-006</t>
  </si>
  <si>
    <t>DI-007</t>
  </si>
  <si>
    <t>StandardID</t>
  </si>
  <si>
    <t>StandardArea</t>
  </si>
  <si>
    <t>Requirement</t>
  </si>
  <si>
    <t>ProjectImplementation</t>
  </si>
  <si>
    <t>EvidencePath</t>
  </si>
  <si>
    <t>SC-001</t>
  </si>
  <si>
    <t>Directory Structure</t>
  </si>
  <si>
    <t>Use standard project directory structure for GIS data and deliverables.</t>
  </si>
  <si>
    <t>Repo structure created; SJTPO standard mirror paths to be confirmed.</t>
  </si>
  <si>
    <t>README.md; File_Mirroring</t>
  </si>
  <si>
    <t>SC-002</t>
  </si>
  <si>
    <t>Metadata</t>
  </si>
  <si>
    <t>Maintain metadata records for final GIS datasets and authoritative products.</t>
  </si>
  <si>
    <t>Metadata folder created; records not yet populated.</t>
  </si>
  <si>
    <t>metadata</t>
  </si>
  <si>
    <t>Documentation</t>
  </si>
  <si>
    <t>IssueID</t>
  </si>
  <si>
    <t>Category</t>
  </si>
  <si>
    <t>FieldOrVariable</t>
  </si>
  <si>
    <t>CheckType</t>
  </si>
  <si>
    <t>ThresholdOrRule</t>
  </si>
  <si>
    <t>IssueDescription</t>
  </si>
  <si>
    <t>Resolution</t>
  </si>
  <si>
    <t>Q-001</t>
  </si>
  <si>
    <t>Methodology</t>
  </si>
  <si>
    <t>TAZ comparison</t>
  </si>
  <si>
    <t>Geometry</t>
  </si>
  <si>
    <t>Scope control</t>
  </si>
  <si>
    <t>Geometry is supporting diagnostic only</t>
  </si>
  <si>
    <t>Prior geometry-only QA/QC does not represent model behavior.</t>
  </si>
  <si>
    <t>Reframe process around model data content.</t>
  </si>
  <si>
    <t>Q-002</t>
  </si>
  <si>
    <t>2011 TAZ to 2020 geography</t>
  </si>
  <si>
    <t>TAZ relationship</t>
  </si>
  <si>
    <t>Manual review</t>
  </si>
  <si>
    <t>Flag many-to-many relationships</t>
  </si>
  <si>
    <t>Legacy TAZs may not align cleanly to 2010 or 2020 blocks.</t>
  </si>
  <si>
    <t>data/intermediate/Crosswalks</t>
  </si>
  <si>
    <t>Q-003</t>
  </si>
  <si>
    <t>Cube tables</t>
  </si>
  <si>
    <t>Field usage</t>
  </si>
  <si>
    <t>Traceability</t>
  </si>
  <si>
    <t>Each model-used field must be identified</t>
  </si>
  <si>
    <t>Need to distinguish active Cube inputs from legacy artifacts.</t>
  </si>
  <si>
    <t>Q-004</t>
  </si>
  <si>
    <t>Validation</t>
  </si>
  <si>
    <t>Population / households</t>
  </si>
  <si>
    <t>TAZ totals</t>
  </si>
  <si>
    <t>Tolerance TBD</t>
  </si>
  <si>
    <t>Regional/county/municipal aggregation checks required</t>
  </si>
  <si>
    <t>TAZ-to-TAZ comparison alone will be noisy.</t>
  </si>
  <si>
    <t>Q-005</t>
  </si>
  <si>
    <t>Employment</t>
  </si>
  <si>
    <t>Employment fields</t>
  </si>
  <si>
    <t>Employment preservation must be checked by type if fields exist</t>
  </si>
  <si>
    <t>Need source system and field definitions.</t>
  </si>
  <si>
    <t>YesNo</t>
  </si>
  <si>
    <t>Blocked</t>
  </si>
  <si>
    <t>Low</t>
  </si>
  <si>
    <t>Access Database</t>
  </si>
  <si>
    <t>Under Review</t>
  </si>
  <si>
    <t>Critical</t>
  </si>
  <si>
    <t>External Source</t>
  </si>
  <si>
    <t>Complete</t>
  </si>
  <si>
    <t>Deferred</t>
  </si>
  <si>
    <t>DI-008</t>
  </si>
  <si>
    <t>SJTDM_Master_Tables_With_Fields.xlsx</t>
  </si>
  <si>
    <t>Establish Git repository and folder structure</t>
  </si>
  <si>
    <t>Complete project charter</t>
  </si>
  <si>
    <t>Develop file mirroring inventory</t>
  </si>
  <si>
    <t>Review SJTPO GIS Data Management requirements</t>
  </si>
  <si>
    <t>Inventory Cube input files</t>
  </si>
  <si>
    <t>Catalog SJTDM tables and fields</t>
  </si>
  <si>
    <t>T-011</t>
  </si>
  <si>
    <t>Identify TAZ-dependent tables</t>
  </si>
  <si>
    <t>T-012</t>
  </si>
  <si>
    <t>Data Lineage</t>
  </si>
  <si>
    <t>Trace socioeconomic data sources</t>
  </si>
  <si>
    <t>T-013</t>
  </si>
  <si>
    <t>Trace employment data sources</t>
  </si>
  <si>
    <t>T-014</t>
  </si>
  <si>
    <t>Trace recreational trip data sources</t>
  </si>
  <si>
    <t>T-015</t>
  </si>
  <si>
    <t>TAZ Migration</t>
  </si>
  <si>
    <t>Develop migration methodology</t>
  </si>
  <si>
    <t>Develop crosswalk methodology</t>
  </si>
  <si>
    <t>Define preservation metrics</t>
  </si>
  <si>
    <t>Build validation procedures</t>
  </si>
  <si>
    <t>Priority2</t>
  </si>
  <si>
    <t>Inventory Cube scripts</t>
  </si>
  <si>
    <t>Inventory all Cube Voyager scripts and identify execution order.</t>
  </si>
  <si>
    <t>Cube Script Inventory</t>
  </si>
  <si>
    <t>Foundation for model documentation.</t>
  </si>
  <si>
    <t>Identify all model inputs referenced by Cube scripts.</t>
  </si>
  <si>
    <t>Input File Inventory</t>
  </si>
  <si>
    <t>Includes DBFs, CSVs, networks and lookup tables.</t>
  </si>
  <si>
    <t>Validate existing table inventory and classify table purpose.</t>
  </si>
  <si>
    <t>Table Catalog</t>
  </si>
  <si>
    <t>Excel inventory already exists.</t>
  </si>
  <si>
    <t>Determine which tables contain zonal data affecting model results.</t>
  </si>
  <si>
    <t>TAZ Dependency Matrix</t>
  </si>
  <si>
    <t>Critical migration task.</t>
  </si>
  <si>
    <t>Document source-to-model workflow for population and households.</t>
  </si>
  <si>
    <t>Data Lineage Documentation</t>
  </si>
  <si>
    <t>Supports QA/QC.</t>
  </si>
  <si>
    <t>Document source-to-model workflow for employment variables.</t>
  </si>
  <si>
    <t>Employment Lineage Documentation</t>
  </si>
  <si>
    <t>Supports trip attraction validation.</t>
  </si>
  <si>
    <t>Document source-to-model workflow for recreational trip generation.</t>
  </si>
  <si>
    <t>Recreation Lineage Documentation</t>
  </si>
  <si>
    <t>Supports recreational TAZ migration.</t>
  </si>
  <si>
    <t>Document methodology for transition from legacy TAZs to 2020 TAZs.</t>
  </si>
  <si>
    <t>Migration Methodology</t>
  </si>
  <si>
    <t>Document allocation and split/merge procedures.</t>
  </si>
  <si>
    <t>Crosswalk Methodology</t>
  </si>
  <si>
    <t>Required before validation.</t>
  </si>
  <si>
    <t>Establish validation metrics for households, population and employment.</t>
  </si>
  <si>
    <t>Validation Framework</t>
  </si>
  <si>
    <t>docs/qa_reports</t>
  </si>
  <si>
    <t>Replaces geometry-only QA/QC.</t>
  </si>
  <si>
    <t>Develop queries and reports to evaluate preservation metrics.</t>
  </si>
  <si>
    <t>Validation Procedures</t>
  </si>
  <si>
    <t>Automated where possible.</t>
  </si>
  <si>
    <t>SJTDM Inventory</t>
  </si>
  <si>
    <t>TableName</t>
  </si>
  <si>
    <t>Model System</t>
  </si>
  <si>
    <t>Contains inventoried SJTDM tables and fields.</t>
  </si>
  <si>
    <t>SJTDM_INPUTS_Data.accdb</t>
  </si>
  <si>
    <t>SJTDM</t>
  </si>
  <si>
    <t>Legacy</t>
  </si>
  <si>
    <t>Multiple</t>
  </si>
  <si>
    <t>Model Inputs</t>
  </si>
  <si>
    <t>Primary source database for discovery.</t>
  </si>
  <si>
    <t>Cube Voyager Scripts</t>
  </si>
  <si>
    <t>Script Collection</t>
  </si>
  <si>
    <t>data/raw/Cube</t>
  </si>
  <si>
    <t>ScriptName</t>
  </si>
  <si>
    <t>Model Execution</t>
  </si>
  <si>
    <t>Inventory pending.</t>
  </si>
  <si>
    <t>SJTDM Users Guide</t>
  </si>
  <si>
    <t>SJTDM Documentation</t>
  </si>
  <si>
    <t>Primary model documentation.</t>
  </si>
  <si>
    <t>SJTDM_TAZ_Migration_Project_Control.xlsx</t>
  </si>
  <si>
    <t>docs/standards</t>
  </si>
  <si>
    <t>Master project tracker.</t>
  </si>
  <si>
    <t>Table inventory workbook.</t>
  </si>
  <si>
    <t>SJTPO Standard Location</t>
  </si>
  <si>
    <t>Source database.</t>
  </si>
  <si>
    <t>SJTDM Users Guide.pdf</t>
  </si>
  <si>
    <t>Primary documentation.</t>
  </si>
  <si>
    <t>SJTDM Tables</t>
  </si>
  <si>
    <t>Table Usage</t>
  </si>
  <si>
    <t>Documentation Review</t>
  </si>
  <si>
    <t>Identify active model inputs</t>
  </si>
  <si>
    <t>Distinguish active tables from legacy artifacts.</t>
  </si>
  <si>
    <t>Pending Cube script review.</t>
  </si>
  <si>
    <t>Key discovery task.</t>
  </si>
  <si>
    <t>Socioeconomic Inputs</t>
  </si>
  <si>
    <t>Population and Households</t>
  </si>
  <si>
    <t>Source Trace</t>
  </si>
  <si>
    <t>Complete lineage required</t>
  </si>
  <si>
    <t>Source workflow not fully documented.</t>
  </si>
  <si>
    <t>TAZ-dependent tables</t>
  </si>
  <si>
    <t>Inventory</t>
  </si>
  <si>
    <t>All TAZ tables identified</t>
  </si>
  <si>
    <t>Unknown number of TAZ-sensitive tables.</t>
  </si>
  <si>
    <t>Table Inventory</t>
  </si>
  <si>
    <t>Critical project risk.</t>
  </si>
  <si>
    <t>Q-006</t>
  </si>
  <si>
    <t>TAZ Migration Variables</t>
  </si>
  <si>
    <t>Preservation metrics established</t>
  </si>
  <si>
    <t>Validation methodology not yet defined.</t>
  </si>
  <si>
    <t>Required before migration QA/QC.</t>
  </si>
  <si>
    <t>Column1</t>
  </si>
  <si>
    <t>Column2</t>
  </si>
  <si>
    <t>Column3</t>
  </si>
  <si>
    <t>Column4</t>
  </si>
  <si>
    <t>Column5</t>
  </si>
  <si>
    <t>Core project objective.  First-pass review of recreational model TAZs completed. TAZs containing significant recreational land-use patterns and sub-census-block characteristics identified. Findings indicate that preservation of model-relevant land-use geography is more important than geometric similarity between legacy and proposed TAZ boundaries.</t>
  </si>
  <si>
    <t>Recreational model screening methodology tested. Initial review confirms geometry-only comparisons are insufficient for evaluating migration quality. QA/QC framework shall evaluate preservation of socioeconomic and recreational model characteristics in addition to geometric correspondence.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</si>
</sst>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0" fontId="1" fillId="2" borderId="0" xfId="0" applyFont="1" applyFill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6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alignment horizontal="left" vertical="top" textRotation="0" wrapText="1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RegisterTable" displayName="TaskRegisterTable" ref="A1:M22">
  <tableColumns count="13">
    <tableColumn id="1" xr3:uid="{00000000-0010-0000-0000-000001000000}" name="TaskID"/>
    <tableColumn id="2" xr3:uid="{00000000-0010-0000-0000-000002000000}" name="Phase"/>
    <tableColumn id="3" xr3:uid="{00000000-0010-0000-0000-000003000000}" name="Task"/>
    <tableColumn id="4" xr3:uid="{00000000-0010-0000-0000-000004000000}" name="Priority"/>
    <tableColumn id="5" xr3:uid="{00000000-0010-0000-0000-000005000000}" name="Owner"/>
    <tableColumn id="6" xr3:uid="{00000000-0010-0000-0000-000006000000}" name="Priority2"/>
    <tableColumn id="7" xr3:uid="{00000000-0010-0000-0000-000007000000}" name="DueDate"/>
    <tableColumn id="8" xr3:uid="{00000000-0010-0000-0000-000008000000}" name="Status"/>
    <tableColumn id="9" xr3:uid="{00000000-0010-0000-0000-000009000000}" name="Dependency"/>
    <tableColumn id="10" xr3:uid="{00000000-0010-0000-0000-00000A000000}" name="Deliverable"/>
    <tableColumn id="11" xr3:uid="{00000000-0010-0000-0000-00000B000000}" name="RepoPath"/>
    <tableColumn id="12" xr3:uid="{00000000-0010-0000-0000-00000C000000}" name="SJTPOStandardPath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leMirroringTable" displayName="FileMirroringTable" ref="A1:J12">
  <tableColumns count="10">
    <tableColumn id="1" xr3:uid="{00000000-0010-0000-0100-000001000000}" name="FileName"/>
    <tableColumn id="2" xr3:uid="{00000000-0010-0000-0100-000002000000}" name="FileType"/>
    <tableColumn id="3" xr3:uid="{00000000-0010-0000-0100-000003000000}" name="ProjectRepoPath"/>
    <tableColumn id="4" xr3:uid="{00000000-0010-0000-0100-000004000000}" name="SJTPOStandardPath"/>
    <tableColumn id="5" xr3:uid="{00000000-0010-0000-0100-000005000000}" name="AuthoritativeLocation"/>
    <tableColumn id="6" xr3:uid="{00000000-0010-0000-0100-000006000000}" name="MirrorRequired"/>
    <tableColumn id="7" xr3:uid="{00000000-0010-0000-0100-000007000000}" name="LastMirroredDate"/>
    <tableColumn id="8" xr3:uid="{00000000-0010-0000-0100-000008000000}" name="Status"/>
    <tableColumn id="9" xr3:uid="{00000000-0010-0000-0100-000009000000}" name="RelatedTaskID"/>
    <tableColumn id="10" xr3:uid="{00000000-0010-0000-0100-00000A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InventoryTable" displayName="DataInventoryTable" ref="A1:M10">
  <tableColumns count="13">
    <tableColumn id="1" xr3:uid="{00000000-0010-0000-0200-000001000000}" name="InventoryID"/>
    <tableColumn id="2" xr3:uid="{00000000-0010-0000-0200-000002000000}" name="DatasetOrTable" dataDxfId="15"/>
    <tableColumn id="3" xr3:uid="{00000000-0010-0000-0200-000003000000}" name="SourceType"/>
    <tableColumn id="4" xr3:uid="{00000000-0010-0000-0200-000004000000}" name="SourceSystem"/>
    <tableColumn id="5" xr3:uid="{00000000-0010-0000-0200-000005000000}" name="ProjectRepoPath"/>
    <tableColumn id="6" xr3:uid="{00000000-0010-0000-0200-000006000000}" name="SJTPOStandardPath"/>
    <tableColumn id="7" xr3:uid="{00000000-0010-0000-0200-000007000000}" name="PrimaryKey"/>
    <tableColumn id="8" xr3:uid="{00000000-0010-0000-0200-000008000000}" name="TemporalVintage"/>
    <tableColumn id="9" xr3:uid="{00000000-0010-0000-0200-000009000000}" name="GeographicLevel"/>
    <tableColumn id="10" xr3:uid="{00000000-0010-0000-0200-00000A000000}" name="ModelUse"/>
    <tableColumn id="11" xr3:uid="{00000000-0010-0000-0200-00000B000000}" name="Status"/>
    <tableColumn id="12" xr3:uid="{00000000-0010-0000-0200-00000C000000}" name="Owner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ndardsComplianceTable" displayName="StandardsComplianceTable" ref="A1:M7">
  <tableColumns count="13">
    <tableColumn id="1" xr3:uid="{00000000-0010-0000-0300-000001000000}" name="StandardID"/>
    <tableColumn id="2" xr3:uid="{00000000-0010-0000-0300-000002000000}" name="StandardArea"/>
    <tableColumn id="3" xr3:uid="{00000000-0010-0000-0300-000003000000}" name="Requirement"/>
    <tableColumn id="4" xr3:uid="{00000000-0010-0000-0300-000004000000}" name="ProjectImplementation"/>
    <tableColumn id="5" xr3:uid="{00000000-0010-0000-0300-000005000000}" name="EvidencePath"/>
    <tableColumn id="6" xr3:uid="{00000000-0010-0000-0300-000006000000}" name="Status"/>
    <tableColumn id="7" xr3:uid="{00000000-0010-0000-0300-000007000000}" name="Owner"/>
    <tableColumn id="8" xr3:uid="{00000000-0010-0000-0300-000008000000}" name="Notes"/>
    <tableColumn id="9" xr3:uid="{3AA2AD53-E40A-4E36-83F1-935956DEB187}" name="Column1"/>
    <tableColumn id="10" xr3:uid="{B7A98AE7-A851-4CC7-817C-0222C3B28434}" name="Column2"/>
    <tableColumn id="11" xr3:uid="{7D7278AF-D2CF-414E-AA8D-988F7B8E6589}" name="Column3"/>
    <tableColumn id="12" xr3:uid="{32E985E7-93B7-44A6-A529-3194CB48636B}" name="Column4"/>
    <tableColumn id="13" xr3:uid="{6657693B-A825-4F41-8531-8398F4E15051}" name="Column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AQCRegisterTable" displayName="QAQCRegisterTable" ref="A1:M6">
  <tableColumns count="13">
    <tableColumn id="1" xr3:uid="{00000000-0010-0000-0400-000001000000}" name="IssueID"/>
    <tableColumn id="2" xr3:uid="{00000000-0010-0000-0400-000002000000}" name="Category"/>
    <tableColumn id="3" xr3:uid="{00000000-0010-0000-0400-000003000000}" name="DatasetOrTable"/>
    <tableColumn id="4" xr3:uid="{00000000-0010-0000-0400-000004000000}" name="FieldOrVariable"/>
    <tableColumn id="5" xr3:uid="{00000000-0010-0000-0400-000005000000}" name="CheckType"/>
    <tableColumn id="6" xr3:uid="{00000000-0010-0000-0400-000006000000}" name="ThresholdOrRule"/>
    <tableColumn id="7" xr3:uid="{00000000-0010-0000-0400-000007000000}" name="IssueDescription"/>
    <tableColumn id="8" xr3:uid="{00000000-0010-0000-0400-000008000000}" name="Status"/>
    <tableColumn id="9" xr3:uid="{00000000-0010-0000-0400-000009000000}" name="Priority"/>
    <tableColumn id="10" xr3:uid="{00000000-0010-0000-0400-00000A000000}" name="Owner"/>
    <tableColumn id="11" xr3:uid="{00000000-0010-0000-0400-00000B000000}" name="Resolution"/>
    <tableColumn id="12" xr3:uid="{00000000-0010-0000-0400-00000C000000}" name="EvidencePath"/>
    <tableColumn id="13" xr3:uid="{00000000-0010-0000-04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A7" sqref="A7"/>
    </sheetView>
  </sheetViews>
  <sheetFormatPr defaultRowHeight="14.25"/>
  <cols>
    <col min="1" max="1" width="22" customWidth="1"/>
    <col min="2" max="2" width="42" customWidth="1"/>
    <col min="3" max="3" width="22" customWidth="1"/>
    <col min="4" max="4" width="26" customWidth="1"/>
    <col min="5" max="5" width="32" customWidth="1"/>
    <col min="6" max="6" width="22" customWidth="1"/>
    <col min="7" max="8" width="28" customWidth="1"/>
  </cols>
  <sheetData>
    <row r="1" spans="1:8" ht="18">
      <c r="A1" s="11" t="s">
        <v>0</v>
      </c>
      <c r="B1" s="12"/>
      <c r="C1" s="12"/>
      <c r="D1" s="12"/>
      <c r="E1" s="12"/>
      <c r="F1" s="12"/>
      <c r="G1" s="12"/>
      <c r="H1" s="12"/>
    </row>
    <row r="3" spans="1:8" ht="15">
      <c r="A3" s="2" t="s">
        <v>1</v>
      </c>
      <c r="B3" s="3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>
      <c r="A4" s="2" t="s">
        <v>8</v>
      </c>
      <c r="B4" s="3" t="s">
        <v>9</v>
      </c>
      <c r="D4" t="s">
        <v>10</v>
      </c>
      <c r="E4" s="3" t="s">
        <v>11</v>
      </c>
      <c r="F4">
        <f>COUNTIFS(Task_Register!$H:$H,"&lt;&gt;Complete",Task_Register!$H:$H,"&lt;&gt;N/A",Task_Register!$A:$A,"&lt;&gt;")</f>
        <v>15</v>
      </c>
      <c r="G4" s="3" t="s">
        <v>12</v>
      </c>
      <c r="H4" s="3" t="s">
        <v>13</v>
      </c>
    </row>
    <row r="5" spans="1:8" ht="15">
      <c r="A5" s="2" t="s">
        <v>14</v>
      </c>
      <c r="B5" s="3" t="s">
        <v>15</v>
      </c>
      <c r="D5" t="s">
        <v>16</v>
      </c>
      <c r="E5" s="3" t="s">
        <v>17</v>
      </c>
      <c r="F5">
        <f>COUNTIFS(Task_Register!$H:$H,"Blocked")</f>
        <v>0</v>
      </c>
      <c r="G5" s="3" t="s">
        <v>12</v>
      </c>
      <c r="H5" s="3" t="s">
        <v>18</v>
      </c>
    </row>
    <row r="6" spans="1:8" ht="29.25">
      <c r="A6" s="2" t="s">
        <v>19</v>
      </c>
      <c r="B6" s="3" t="s">
        <v>20</v>
      </c>
      <c r="D6" t="s">
        <v>21</v>
      </c>
      <c r="E6" s="3" t="s">
        <v>22</v>
      </c>
      <c r="F6">
        <f>COUNTIFS(File_Mirroring!$F:$F,"Yes")</f>
        <v>9</v>
      </c>
      <c r="G6" s="3" t="s">
        <v>12</v>
      </c>
      <c r="H6" s="3" t="s">
        <v>23</v>
      </c>
    </row>
    <row r="7" spans="1:8" ht="15">
      <c r="A7" s="2" t="s">
        <v>24</v>
      </c>
      <c r="B7" s="3"/>
      <c r="D7" t="s">
        <v>25</v>
      </c>
      <c r="E7" s="3" t="s">
        <v>26</v>
      </c>
      <c r="F7">
        <f>COUNTIFS(File_Mirroring!$F:$F,"Yes",File_Mirroring!$H:$H,"&lt;&gt;Mirrored",File_Mirroring!$A:$A,"&lt;&gt;")</f>
        <v>9</v>
      </c>
      <c r="G7" s="3" t="s">
        <v>12</v>
      </c>
      <c r="H7" s="3" t="s">
        <v>27</v>
      </c>
    </row>
    <row r="8" spans="1:8" ht="29.25">
      <c r="A8" s="2" t="s">
        <v>28</v>
      </c>
      <c r="B8" s="3" t="s">
        <v>29</v>
      </c>
      <c r="D8" t="s">
        <v>30</v>
      </c>
      <c r="E8" s="3" t="s">
        <v>31</v>
      </c>
      <c r="F8">
        <f>COUNTIFS(QAQC_Register!$H:$H,"&lt;&gt;Complete",QAQC_Register!$H:$H,"&lt;&gt;N/A",QAQC_Register!$A:$A,"&lt;&gt;")</f>
        <v>6</v>
      </c>
      <c r="G8" s="3" t="s">
        <v>12</v>
      </c>
      <c r="H8" s="3" t="s">
        <v>32</v>
      </c>
    </row>
    <row r="9" spans="1:8" ht="29.25">
      <c r="A9" s="2" t="s">
        <v>33</v>
      </c>
      <c r="B9" s="3" t="s">
        <v>34</v>
      </c>
      <c r="D9" t="s">
        <v>35</v>
      </c>
      <c r="E9" s="3" t="s">
        <v>36</v>
      </c>
      <c r="F9">
        <f>COUNTIFS(Standards_Compliance!$F:$F,"&lt;&gt;Complete",Standards_Compliance!$F:$F,"&lt;&gt;N/A",Standards_Compliance!$A:$A,"&lt;&gt;")</f>
        <v>7</v>
      </c>
      <c r="G9" s="3" t="s">
        <v>12</v>
      </c>
      <c r="H9" s="3" t="s">
        <v>37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1"/>
  <sheetViews>
    <sheetView topLeftCell="A13" workbookViewId="0">
      <selection activeCell="L13" sqref="L13"/>
    </sheetView>
  </sheetViews>
  <sheetFormatPr defaultRowHeight="14.25"/>
  <cols>
    <col min="1" max="3" width="18" customWidth="1"/>
    <col min="4" max="4" width="40" customWidth="1"/>
    <col min="5" max="9" width="18" customWidth="1"/>
    <col min="10" max="13" width="28" customWidth="1"/>
  </cols>
  <sheetData>
    <row r="1" spans="1:13" ht="15">
      <c r="A1" s="9" t="s">
        <v>38</v>
      </c>
      <c r="B1" s="9" t="s">
        <v>39</v>
      </c>
      <c r="C1" s="9" t="s">
        <v>40</v>
      </c>
      <c r="D1" s="9" t="s">
        <v>42</v>
      </c>
      <c r="E1" s="5" t="s">
        <v>41</v>
      </c>
      <c r="F1" s="5" t="s">
        <v>239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6</v>
      </c>
    </row>
    <row r="2" spans="1:13" ht="42.75">
      <c r="A2" s="10" t="s">
        <v>49</v>
      </c>
      <c r="B2" s="10" t="s">
        <v>50</v>
      </c>
      <c r="C2" s="10" t="s">
        <v>218</v>
      </c>
      <c r="D2" s="10" t="s">
        <v>52</v>
      </c>
      <c r="E2" s="3" t="s">
        <v>51</v>
      </c>
      <c r="F2" s="3" t="s">
        <v>52</v>
      </c>
      <c r="G2" s="4"/>
      <c r="H2" s="3" t="s">
        <v>214</v>
      </c>
      <c r="I2" s="3"/>
      <c r="J2" s="3" t="s">
        <v>54</v>
      </c>
      <c r="K2" s="3" t="s">
        <v>54</v>
      </c>
      <c r="L2" s="3"/>
      <c r="M2" s="3" t="s">
        <v>55</v>
      </c>
    </row>
    <row r="3" spans="1:13" ht="28.5">
      <c r="A3" s="10" t="s">
        <v>56</v>
      </c>
      <c r="B3" s="10" t="s">
        <v>50</v>
      </c>
      <c r="C3" s="10" t="s">
        <v>219</v>
      </c>
      <c r="D3" s="10" t="s">
        <v>52</v>
      </c>
      <c r="E3" s="3" t="s">
        <v>51</v>
      </c>
      <c r="F3" s="3" t="s">
        <v>52</v>
      </c>
      <c r="G3" s="4"/>
      <c r="H3" s="3" t="s">
        <v>53</v>
      </c>
      <c r="I3" s="3" t="s">
        <v>49</v>
      </c>
      <c r="J3" s="3" t="s">
        <v>58</v>
      </c>
      <c r="K3" s="3" t="s">
        <v>59</v>
      </c>
      <c r="L3" s="3"/>
      <c r="M3" s="3"/>
    </row>
    <row r="4" spans="1:13" ht="28.5">
      <c r="A4" s="10" t="s">
        <v>60</v>
      </c>
      <c r="B4" s="10" t="s">
        <v>61</v>
      </c>
      <c r="C4" s="10" t="s">
        <v>220</v>
      </c>
      <c r="D4" s="10" t="s">
        <v>52</v>
      </c>
      <c r="E4" s="3" t="s">
        <v>51</v>
      </c>
      <c r="F4" s="3" t="s">
        <v>52</v>
      </c>
      <c r="G4" s="4"/>
      <c r="H4" s="3" t="s">
        <v>53</v>
      </c>
      <c r="I4" s="3" t="s">
        <v>49</v>
      </c>
      <c r="J4" s="3" t="s">
        <v>62</v>
      </c>
      <c r="K4" s="3" t="s">
        <v>63</v>
      </c>
      <c r="L4" s="3"/>
      <c r="M4" s="3" t="s">
        <v>64</v>
      </c>
    </row>
    <row r="5" spans="1:13" ht="42.75">
      <c r="A5" s="10" t="s">
        <v>65</v>
      </c>
      <c r="B5" s="10" t="s">
        <v>61</v>
      </c>
      <c r="C5" s="10" t="s">
        <v>221</v>
      </c>
      <c r="D5" s="10" t="s">
        <v>52</v>
      </c>
      <c r="E5" s="3" t="s">
        <v>51</v>
      </c>
      <c r="F5" s="3" t="s">
        <v>52</v>
      </c>
      <c r="G5" s="4"/>
      <c r="H5" s="3" t="s">
        <v>57</v>
      </c>
      <c r="I5" s="3"/>
      <c r="J5" s="3" t="s">
        <v>67</v>
      </c>
      <c r="K5" s="3" t="s">
        <v>68</v>
      </c>
      <c r="L5" s="3"/>
      <c r="M5" s="3"/>
    </row>
    <row r="6" spans="1:13" ht="28.5">
      <c r="A6" s="10" t="s">
        <v>69</v>
      </c>
      <c r="B6" s="10" t="s">
        <v>74</v>
      </c>
      <c r="C6" s="10" t="s">
        <v>240</v>
      </c>
      <c r="D6" s="10" t="s">
        <v>241</v>
      </c>
      <c r="E6" s="3" t="s">
        <v>51</v>
      </c>
      <c r="F6" s="3" t="s">
        <v>52</v>
      </c>
      <c r="G6" s="4"/>
      <c r="H6" s="3" t="s">
        <v>57</v>
      </c>
      <c r="I6" s="3" t="s">
        <v>49</v>
      </c>
      <c r="J6" s="3" t="s">
        <v>242</v>
      </c>
      <c r="K6" s="3" t="s">
        <v>75</v>
      </c>
      <c r="L6" s="3"/>
      <c r="M6" s="3" t="s">
        <v>243</v>
      </c>
    </row>
    <row r="7" spans="1:13" ht="28.5">
      <c r="A7" s="10" t="s">
        <v>70</v>
      </c>
      <c r="B7" s="10" t="s">
        <v>74</v>
      </c>
      <c r="C7" s="10" t="s">
        <v>222</v>
      </c>
      <c r="D7" s="10" t="s">
        <v>244</v>
      </c>
      <c r="E7" s="3" t="s">
        <v>51</v>
      </c>
      <c r="F7" s="3" t="s">
        <v>52</v>
      </c>
      <c r="G7" s="4"/>
      <c r="H7" s="3" t="s">
        <v>57</v>
      </c>
      <c r="I7" s="3" t="s">
        <v>69</v>
      </c>
      <c r="J7" s="3" t="s">
        <v>245</v>
      </c>
      <c r="K7" s="3" t="s">
        <v>75</v>
      </c>
      <c r="L7" s="3"/>
      <c r="M7" s="3" t="s">
        <v>246</v>
      </c>
    </row>
    <row r="8" spans="1:13" ht="28.5">
      <c r="A8" s="10" t="s">
        <v>73</v>
      </c>
      <c r="B8" s="10" t="s">
        <v>74</v>
      </c>
      <c r="C8" s="10" t="s">
        <v>223</v>
      </c>
      <c r="D8" s="10" t="s">
        <v>247</v>
      </c>
      <c r="E8" s="3" t="s">
        <v>51</v>
      </c>
      <c r="F8" s="3" t="s">
        <v>52</v>
      </c>
      <c r="G8" s="4"/>
      <c r="H8" s="3" t="s">
        <v>53</v>
      </c>
      <c r="I8" s="3" t="s">
        <v>69</v>
      </c>
      <c r="J8" s="3" t="s">
        <v>248</v>
      </c>
      <c r="K8" s="3" t="s">
        <v>75</v>
      </c>
      <c r="L8" s="3"/>
      <c r="M8" s="3" t="s">
        <v>249</v>
      </c>
    </row>
    <row r="9" spans="1:13" ht="28.5">
      <c r="A9" s="10" t="s">
        <v>76</v>
      </c>
      <c r="B9" s="10" t="s">
        <v>74</v>
      </c>
      <c r="C9" s="10" t="s">
        <v>225</v>
      </c>
      <c r="D9" s="10" t="s">
        <v>250</v>
      </c>
      <c r="E9" s="3" t="s">
        <v>51</v>
      </c>
      <c r="F9" s="3" t="s">
        <v>52</v>
      </c>
      <c r="G9" s="4"/>
      <c r="H9" s="3" t="s">
        <v>53</v>
      </c>
      <c r="I9" s="3" t="s">
        <v>73</v>
      </c>
      <c r="J9" s="3" t="s">
        <v>251</v>
      </c>
      <c r="K9" s="3" t="s">
        <v>77</v>
      </c>
      <c r="L9" s="3"/>
      <c r="M9" s="3" t="s">
        <v>252</v>
      </c>
    </row>
    <row r="10" spans="1:13" ht="42.75">
      <c r="A10" s="10" t="s">
        <v>78</v>
      </c>
      <c r="B10" s="10" t="s">
        <v>227</v>
      </c>
      <c r="C10" s="10" t="s">
        <v>228</v>
      </c>
      <c r="D10" s="10" t="s">
        <v>253</v>
      </c>
      <c r="E10" s="3" t="s">
        <v>51</v>
      </c>
      <c r="F10" s="3" t="s">
        <v>52</v>
      </c>
      <c r="G10" s="4"/>
      <c r="H10" s="3" t="s">
        <v>57</v>
      </c>
      <c r="I10" s="3" t="s">
        <v>76</v>
      </c>
      <c r="J10" s="3" t="s">
        <v>254</v>
      </c>
      <c r="K10" s="3" t="s">
        <v>77</v>
      </c>
      <c r="L10" s="3"/>
      <c r="M10" s="3" t="s">
        <v>255</v>
      </c>
    </row>
    <row r="11" spans="1:13" ht="28.5">
      <c r="A11" s="10" t="s">
        <v>80</v>
      </c>
      <c r="B11" s="10" t="s">
        <v>227</v>
      </c>
      <c r="C11" s="10" t="s">
        <v>230</v>
      </c>
      <c r="D11" s="10" t="s">
        <v>256</v>
      </c>
      <c r="E11" s="3" t="s">
        <v>51</v>
      </c>
      <c r="F11" s="3" t="s">
        <v>52</v>
      </c>
      <c r="G11" s="4"/>
      <c r="H11" s="3" t="s">
        <v>57</v>
      </c>
      <c r="I11" s="3" t="s">
        <v>76</v>
      </c>
      <c r="J11" s="3" t="s">
        <v>257</v>
      </c>
      <c r="K11" s="3" t="s">
        <v>77</v>
      </c>
      <c r="L11" s="3"/>
      <c r="M11" s="3" t="s">
        <v>258</v>
      </c>
    </row>
    <row r="12" spans="1:13" ht="28.5">
      <c r="A12" s="10" t="s">
        <v>224</v>
      </c>
      <c r="B12" s="10" t="s">
        <v>227</v>
      </c>
      <c r="C12" s="10" t="s">
        <v>232</v>
      </c>
      <c r="D12" s="10" t="s">
        <v>259</v>
      </c>
      <c r="E12" s="3" t="s">
        <v>51</v>
      </c>
      <c r="F12" s="3" t="s">
        <v>52</v>
      </c>
      <c r="G12" s="4"/>
      <c r="H12" s="3" t="s">
        <v>57</v>
      </c>
      <c r="I12" s="3" t="s">
        <v>76</v>
      </c>
      <c r="J12" s="3" t="s">
        <v>260</v>
      </c>
      <c r="K12" s="3" t="s">
        <v>77</v>
      </c>
      <c r="L12" s="3"/>
      <c r="M12" s="3" t="s">
        <v>261</v>
      </c>
    </row>
    <row r="13" spans="1:13" ht="185.25">
      <c r="A13" s="10" t="s">
        <v>226</v>
      </c>
      <c r="B13" s="10" t="s">
        <v>234</v>
      </c>
      <c r="C13" s="10" t="s">
        <v>235</v>
      </c>
      <c r="D13" s="10" t="s">
        <v>262</v>
      </c>
      <c r="E13" s="3" t="s">
        <v>51</v>
      </c>
      <c r="F13" s="3" t="s">
        <v>52</v>
      </c>
      <c r="G13" s="4"/>
      <c r="H13" s="3" t="s">
        <v>53</v>
      </c>
      <c r="I13" s="3" t="s">
        <v>224</v>
      </c>
      <c r="J13" s="3" t="s">
        <v>263</v>
      </c>
      <c r="K13" s="3" t="s">
        <v>77</v>
      </c>
      <c r="L13" s="3"/>
      <c r="M13" s="3" t="s">
        <v>329</v>
      </c>
    </row>
    <row r="14" spans="1:13" ht="142.5">
      <c r="A14" s="10" t="s">
        <v>229</v>
      </c>
      <c r="B14" s="10" t="s">
        <v>234</v>
      </c>
      <c r="C14" s="10" t="s">
        <v>236</v>
      </c>
      <c r="D14" s="10" t="s">
        <v>264</v>
      </c>
      <c r="E14" s="3" t="s">
        <v>51</v>
      </c>
      <c r="F14" s="3" t="s">
        <v>52</v>
      </c>
      <c r="G14" s="4"/>
      <c r="H14" s="3" t="s">
        <v>57</v>
      </c>
      <c r="I14" s="3" t="s">
        <v>226</v>
      </c>
      <c r="J14" s="3" t="s">
        <v>265</v>
      </c>
      <c r="K14" s="3" t="s">
        <v>77</v>
      </c>
      <c r="L14" s="3"/>
      <c r="M14" s="3" t="s">
        <v>330</v>
      </c>
    </row>
    <row r="15" spans="1:13" ht="28.5">
      <c r="A15" s="10" t="s">
        <v>231</v>
      </c>
      <c r="B15" s="10" t="s">
        <v>196</v>
      </c>
      <c r="C15" s="10" t="s">
        <v>237</v>
      </c>
      <c r="D15" s="10" t="s">
        <v>267</v>
      </c>
      <c r="E15" s="3" t="s">
        <v>51</v>
      </c>
      <c r="F15" s="3" t="s">
        <v>52</v>
      </c>
      <c r="G15" s="4"/>
      <c r="H15" s="3" t="s">
        <v>57</v>
      </c>
      <c r="I15" s="3" t="s">
        <v>229</v>
      </c>
      <c r="J15" s="3" t="s">
        <v>268</v>
      </c>
      <c r="K15" s="3" t="s">
        <v>269</v>
      </c>
      <c r="L15" s="3"/>
      <c r="M15" s="3" t="s">
        <v>270</v>
      </c>
    </row>
    <row r="16" spans="1:13" ht="28.5">
      <c r="A16" s="10" t="s">
        <v>233</v>
      </c>
      <c r="B16" s="10" t="s">
        <v>196</v>
      </c>
      <c r="C16" s="10" t="s">
        <v>238</v>
      </c>
      <c r="D16" s="10" t="s">
        <v>271</v>
      </c>
      <c r="E16" s="3" t="s">
        <v>51</v>
      </c>
      <c r="F16" s="3" t="s">
        <v>52</v>
      </c>
      <c r="G16" s="4"/>
      <c r="H16" s="3" t="s">
        <v>57</v>
      </c>
      <c r="I16" s="3" t="s">
        <v>231</v>
      </c>
      <c r="J16" s="3" t="s">
        <v>272</v>
      </c>
      <c r="K16" s="3" t="s">
        <v>269</v>
      </c>
      <c r="L16" s="3"/>
      <c r="M16" s="3" t="s">
        <v>273</v>
      </c>
    </row>
    <row r="17" spans="1:13">
      <c r="A17" s="10"/>
      <c r="B17" s="10"/>
      <c r="C17" s="10"/>
      <c r="D17" s="10"/>
      <c r="E17" s="3"/>
      <c r="F17" s="3"/>
      <c r="G17" s="4"/>
      <c r="H17" s="3"/>
      <c r="I17" s="3"/>
      <c r="J17" s="3"/>
      <c r="K17" s="3"/>
      <c r="L17" s="3"/>
      <c r="M17" s="3"/>
    </row>
    <row r="18" spans="1:13">
      <c r="A18" s="10"/>
      <c r="B18" s="10"/>
      <c r="C18" s="10"/>
      <c r="D18" s="10"/>
      <c r="E18" s="3"/>
      <c r="F18" s="3"/>
      <c r="G18" s="4"/>
      <c r="H18" s="3"/>
      <c r="I18" s="3"/>
      <c r="J18" s="3"/>
      <c r="K18" s="3"/>
      <c r="L18" s="3"/>
      <c r="M18" s="3"/>
    </row>
    <row r="19" spans="1:13">
      <c r="A19" s="10"/>
      <c r="B19" s="10"/>
      <c r="C19" s="10"/>
      <c r="D19" s="10"/>
      <c r="E19" s="3"/>
      <c r="F19" s="3"/>
      <c r="G19" s="4"/>
      <c r="H19" s="3"/>
      <c r="I19" s="3"/>
      <c r="J19" s="3"/>
      <c r="K19" s="3"/>
      <c r="L19" s="3"/>
      <c r="M19" s="3"/>
    </row>
    <row r="20" spans="1:13">
      <c r="A20" s="10"/>
      <c r="B20" s="10"/>
      <c r="C20" s="10"/>
      <c r="D20" s="10"/>
      <c r="E20" s="3"/>
      <c r="F20" s="3"/>
      <c r="G20" s="4"/>
      <c r="H20" s="3"/>
      <c r="I20" s="3"/>
      <c r="J20" s="3"/>
      <c r="K20" s="3"/>
      <c r="L20" s="3"/>
      <c r="M20" s="3"/>
    </row>
    <row r="21" spans="1:13">
      <c r="A21" s="10"/>
      <c r="B21" s="10"/>
      <c r="C21" s="10"/>
      <c r="D21" s="10"/>
      <c r="E21" s="3"/>
      <c r="F21" s="3"/>
      <c r="G21" s="4"/>
      <c r="H21" s="3"/>
      <c r="I21" s="3"/>
      <c r="J21" s="3"/>
      <c r="K21" s="3"/>
      <c r="L21" s="3"/>
      <c r="M21" s="3"/>
    </row>
    <row r="22" spans="1:13">
      <c r="A22" s="10"/>
      <c r="B22" s="10"/>
      <c r="C22" s="10"/>
      <c r="D22" s="10"/>
      <c r="E22" s="3"/>
      <c r="F22" s="3"/>
      <c r="G22" s="4"/>
      <c r="H22" s="3"/>
      <c r="I22" s="3"/>
      <c r="J22" s="3"/>
      <c r="K22" s="3"/>
      <c r="L22" s="3"/>
      <c r="M22" s="3"/>
    </row>
    <row r="23" spans="1:13">
      <c r="G23" s="6"/>
    </row>
    <row r="24" spans="1:13">
      <c r="G24" s="6"/>
    </row>
    <row r="25" spans="1:13">
      <c r="G25" s="6"/>
    </row>
    <row r="26" spans="1:13">
      <c r="G26" s="6"/>
    </row>
    <row r="27" spans="1:13">
      <c r="G27" s="6"/>
    </row>
    <row r="28" spans="1:13">
      <c r="G28" s="6"/>
    </row>
    <row r="29" spans="1:13">
      <c r="G29" s="6"/>
    </row>
    <row r="30" spans="1:13">
      <c r="G30" s="6"/>
    </row>
    <row r="31" spans="1:13">
      <c r="G31" s="6"/>
    </row>
    <row r="32" spans="1:13">
      <c r="G32" s="6"/>
    </row>
    <row r="33" spans="7:7">
      <c r="G33" s="6"/>
    </row>
    <row r="34" spans="7:7">
      <c r="G34" s="6"/>
    </row>
    <row r="35" spans="7:7">
      <c r="G35" s="6"/>
    </row>
    <row r="36" spans="7:7">
      <c r="G36" s="6"/>
    </row>
    <row r="37" spans="7:7">
      <c r="G37" s="6"/>
    </row>
    <row r="38" spans="7:7">
      <c r="G38" s="6"/>
    </row>
    <row r="39" spans="7:7">
      <c r="G39" s="6"/>
    </row>
    <row r="40" spans="7:7">
      <c r="G40" s="6"/>
    </row>
    <row r="41" spans="7:7">
      <c r="G41" s="6"/>
    </row>
    <row r="42" spans="7:7">
      <c r="G42" s="6"/>
    </row>
    <row r="43" spans="7:7">
      <c r="G43" s="6"/>
    </row>
    <row r="44" spans="7:7">
      <c r="G44" s="6"/>
    </row>
    <row r="45" spans="7:7">
      <c r="G45" s="6"/>
    </row>
    <row r="46" spans="7:7">
      <c r="G46" s="6"/>
    </row>
    <row r="47" spans="7:7">
      <c r="G47" s="6"/>
    </row>
    <row r="48" spans="7:7">
      <c r="G48" s="6"/>
    </row>
    <row r="49" spans="7:7">
      <c r="G49" s="6"/>
    </row>
    <row r="50" spans="7:7">
      <c r="G50" s="6"/>
    </row>
    <row r="51" spans="7:7">
      <c r="G51" s="6"/>
    </row>
    <row r="52" spans="7:7">
      <c r="G52" s="6"/>
    </row>
    <row r="53" spans="7:7">
      <c r="G53" s="6"/>
    </row>
    <row r="54" spans="7:7">
      <c r="G54" s="6"/>
    </row>
    <row r="55" spans="7:7">
      <c r="G55" s="6"/>
    </row>
    <row r="56" spans="7:7">
      <c r="G56" s="6"/>
    </row>
    <row r="57" spans="7:7">
      <c r="G57" s="6"/>
    </row>
    <row r="58" spans="7:7">
      <c r="G58" s="6"/>
    </row>
    <row r="59" spans="7:7">
      <c r="G59" s="6"/>
    </row>
    <row r="60" spans="7:7">
      <c r="G60" s="6"/>
    </row>
    <row r="61" spans="7:7">
      <c r="G61" s="6"/>
    </row>
    <row r="62" spans="7:7">
      <c r="G62" s="6"/>
    </row>
    <row r="63" spans="7:7">
      <c r="G63" s="6"/>
    </row>
    <row r="64" spans="7:7">
      <c r="G64" s="6"/>
    </row>
    <row r="65" spans="7:7">
      <c r="G65" s="6"/>
    </row>
    <row r="66" spans="7:7">
      <c r="G66" s="6"/>
    </row>
    <row r="67" spans="7:7">
      <c r="G67" s="6"/>
    </row>
    <row r="68" spans="7:7">
      <c r="G68" s="6"/>
    </row>
    <row r="69" spans="7:7">
      <c r="G69" s="6"/>
    </row>
    <row r="70" spans="7:7">
      <c r="G70" s="6"/>
    </row>
    <row r="71" spans="7:7">
      <c r="G71" s="6"/>
    </row>
    <row r="72" spans="7:7">
      <c r="G72" s="6"/>
    </row>
    <row r="73" spans="7:7">
      <c r="G73" s="6"/>
    </row>
    <row r="74" spans="7:7">
      <c r="G74" s="6"/>
    </row>
    <row r="75" spans="7:7">
      <c r="G75" s="6"/>
    </row>
    <row r="76" spans="7:7">
      <c r="G76" s="6"/>
    </row>
    <row r="77" spans="7:7">
      <c r="G77" s="6"/>
    </row>
    <row r="78" spans="7:7">
      <c r="G78" s="6"/>
    </row>
    <row r="79" spans="7:7">
      <c r="G79" s="6"/>
    </row>
    <row r="80" spans="7:7">
      <c r="G80" s="6"/>
    </row>
    <row r="81" spans="7:7">
      <c r="G81" s="6"/>
    </row>
    <row r="82" spans="7:7">
      <c r="G82" s="6"/>
    </row>
    <row r="83" spans="7:7">
      <c r="G83" s="6"/>
    </row>
    <row r="84" spans="7:7">
      <c r="G84" s="6"/>
    </row>
    <row r="85" spans="7:7">
      <c r="G85" s="6"/>
    </row>
    <row r="86" spans="7:7">
      <c r="G86" s="6"/>
    </row>
    <row r="87" spans="7:7">
      <c r="G87" s="6"/>
    </row>
    <row r="88" spans="7:7">
      <c r="G88" s="6"/>
    </row>
    <row r="89" spans="7:7">
      <c r="G89" s="6"/>
    </row>
    <row r="90" spans="7:7">
      <c r="G90" s="6"/>
    </row>
    <row r="91" spans="7:7">
      <c r="G91" s="6"/>
    </row>
    <row r="92" spans="7:7">
      <c r="G92" s="6"/>
    </row>
    <row r="93" spans="7:7">
      <c r="G93" s="6"/>
    </row>
    <row r="94" spans="7:7">
      <c r="G94" s="6"/>
    </row>
    <row r="95" spans="7:7">
      <c r="G95" s="6"/>
    </row>
    <row r="96" spans="7:7">
      <c r="G96" s="6"/>
    </row>
    <row r="97" spans="7:7">
      <c r="G97" s="6"/>
    </row>
    <row r="98" spans="7:7">
      <c r="G98" s="6"/>
    </row>
    <row r="99" spans="7:7">
      <c r="G99" s="6"/>
    </row>
    <row r="100" spans="7:7">
      <c r="G100" s="6"/>
    </row>
    <row r="101" spans="7:7">
      <c r="G101" s="6"/>
    </row>
    <row r="102" spans="7:7">
      <c r="G102" s="6"/>
    </row>
    <row r="103" spans="7:7">
      <c r="G103" s="6"/>
    </row>
    <row r="104" spans="7:7">
      <c r="G104" s="6"/>
    </row>
    <row r="105" spans="7:7">
      <c r="G105" s="6"/>
    </row>
    <row r="106" spans="7:7">
      <c r="G106" s="6"/>
    </row>
    <row r="107" spans="7:7">
      <c r="G107" s="6"/>
    </row>
    <row r="108" spans="7:7">
      <c r="G108" s="6"/>
    </row>
    <row r="109" spans="7:7">
      <c r="G109" s="6"/>
    </row>
    <row r="110" spans="7:7">
      <c r="G110" s="6"/>
    </row>
    <row r="111" spans="7:7">
      <c r="G111" s="6"/>
    </row>
    <row r="112" spans="7:7">
      <c r="G112" s="6"/>
    </row>
    <row r="113" spans="7:7">
      <c r="G113" s="6"/>
    </row>
    <row r="114" spans="7:7">
      <c r="G114" s="6"/>
    </row>
    <row r="115" spans="7:7">
      <c r="G115" s="6"/>
    </row>
    <row r="116" spans="7:7">
      <c r="G116" s="6"/>
    </row>
    <row r="117" spans="7:7">
      <c r="G117" s="6"/>
    </row>
    <row r="118" spans="7:7">
      <c r="G118" s="6"/>
    </row>
    <row r="119" spans="7:7">
      <c r="G119" s="6"/>
    </row>
    <row r="120" spans="7:7">
      <c r="G120" s="6"/>
    </row>
    <row r="121" spans="7:7">
      <c r="G121" s="6"/>
    </row>
    <row r="122" spans="7:7">
      <c r="G122" s="6"/>
    </row>
    <row r="123" spans="7:7">
      <c r="G123" s="6"/>
    </row>
    <row r="124" spans="7:7">
      <c r="G124" s="6"/>
    </row>
    <row r="125" spans="7:7">
      <c r="G125" s="6"/>
    </row>
    <row r="126" spans="7:7">
      <c r="G126" s="6"/>
    </row>
    <row r="127" spans="7:7">
      <c r="G127" s="6"/>
    </row>
    <row r="128" spans="7:7">
      <c r="G128" s="6"/>
    </row>
    <row r="129" spans="7:7">
      <c r="G129" s="6"/>
    </row>
    <row r="130" spans="7:7">
      <c r="G130" s="6"/>
    </row>
    <row r="131" spans="7:7">
      <c r="G131" s="6"/>
    </row>
    <row r="132" spans="7:7">
      <c r="G132" s="6"/>
    </row>
    <row r="133" spans="7:7">
      <c r="G133" s="6"/>
    </row>
    <row r="134" spans="7:7">
      <c r="G134" s="6"/>
    </row>
    <row r="135" spans="7:7">
      <c r="G135" s="6"/>
    </row>
    <row r="136" spans="7:7">
      <c r="G136" s="6"/>
    </row>
    <row r="137" spans="7:7">
      <c r="G137" s="6"/>
    </row>
    <row r="138" spans="7:7">
      <c r="G138" s="6"/>
    </row>
    <row r="139" spans="7:7">
      <c r="G139" s="6"/>
    </row>
    <row r="140" spans="7:7">
      <c r="G140" s="6"/>
    </row>
    <row r="141" spans="7:7">
      <c r="G141" s="6"/>
    </row>
    <row r="142" spans="7:7">
      <c r="G142" s="6"/>
    </row>
    <row r="143" spans="7:7">
      <c r="G143" s="6"/>
    </row>
    <row r="144" spans="7:7">
      <c r="G144" s="6"/>
    </row>
    <row r="145" spans="7:7">
      <c r="G145" s="6"/>
    </row>
    <row r="146" spans="7:7">
      <c r="G146" s="6"/>
    </row>
    <row r="147" spans="7:7">
      <c r="G147" s="6"/>
    </row>
    <row r="148" spans="7:7">
      <c r="G148" s="6"/>
    </row>
    <row r="149" spans="7:7">
      <c r="G149" s="6"/>
    </row>
    <row r="150" spans="7:7">
      <c r="G150" s="6"/>
    </row>
    <row r="151" spans="7:7">
      <c r="G151" s="6"/>
    </row>
    <row r="152" spans="7:7">
      <c r="G152" s="6"/>
    </row>
    <row r="153" spans="7:7">
      <c r="G153" s="6"/>
    </row>
    <row r="154" spans="7:7">
      <c r="G154" s="6"/>
    </row>
    <row r="155" spans="7:7">
      <c r="G155" s="6"/>
    </row>
    <row r="156" spans="7:7">
      <c r="G156" s="6"/>
    </row>
    <row r="157" spans="7:7">
      <c r="G157" s="6"/>
    </row>
    <row r="158" spans="7:7">
      <c r="G158" s="6"/>
    </row>
    <row r="159" spans="7:7">
      <c r="G159" s="6"/>
    </row>
    <row r="160" spans="7:7">
      <c r="G160" s="6"/>
    </row>
    <row r="161" spans="7:7">
      <c r="G161" s="6"/>
    </row>
    <row r="162" spans="7:7">
      <c r="G162" s="6"/>
    </row>
    <row r="163" spans="7:7">
      <c r="G163" s="6"/>
    </row>
    <row r="164" spans="7:7">
      <c r="G164" s="6"/>
    </row>
    <row r="165" spans="7:7">
      <c r="G165" s="6"/>
    </row>
    <row r="166" spans="7:7">
      <c r="G166" s="6"/>
    </row>
    <row r="167" spans="7:7">
      <c r="G167" s="6"/>
    </row>
    <row r="168" spans="7:7">
      <c r="G168" s="6"/>
    </row>
    <row r="169" spans="7:7">
      <c r="G169" s="6"/>
    </row>
    <row r="170" spans="7:7">
      <c r="G170" s="6"/>
    </row>
    <row r="171" spans="7:7">
      <c r="G171" s="6"/>
    </row>
    <row r="172" spans="7:7">
      <c r="G172" s="6"/>
    </row>
    <row r="173" spans="7:7">
      <c r="G173" s="6"/>
    </row>
    <row r="174" spans="7:7">
      <c r="G174" s="6"/>
    </row>
    <row r="175" spans="7:7">
      <c r="G175" s="6"/>
    </row>
    <row r="176" spans="7:7">
      <c r="G176" s="6"/>
    </row>
    <row r="177" spans="7:7">
      <c r="G177" s="6"/>
    </row>
    <row r="178" spans="7:7">
      <c r="G178" s="6"/>
    </row>
    <row r="179" spans="7:7">
      <c r="G179" s="6"/>
    </row>
    <row r="180" spans="7:7">
      <c r="G180" s="6"/>
    </row>
    <row r="181" spans="7:7">
      <c r="G181" s="6"/>
    </row>
    <row r="182" spans="7:7">
      <c r="G182" s="6"/>
    </row>
    <row r="183" spans="7:7">
      <c r="G183" s="6"/>
    </row>
    <row r="184" spans="7:7">
      <c r="G184" s="6"/>
    </row>
    <row r="185" spans="7:7">
      <c r="G185" s="6"/>
    </row>
    <row r="186" spans="7:7">
      <c r="G186" s="6"/>
    </row>
    <row r="187" spans="7:7">
      <c r="G187" s="6"/>
    </row>
    <row r="188" spans="7:7">
      <c r="G188" s="6"/>
    </row>
    <row r="189" spans="7:7">
      <c r="G189" s="6"/>
    </row>
    <row r="190" spans="7:7">
      <c r="G190" s="6"/>
    </row>
    <row r="191" spans="7:7">
      <c r="G191" s="6"/>
    </row>
    <row r="192" spans="7:7">
      <c r="G192" s="6"/>
    </row>
    <row r="193" spans="7:7">
      <c r="G193" s="6"/>
    </row>
    <row r="194" spans="7:7">
      <c r="G194" s="6"/>
    </row>
    <row r="195" spans="7:7">
      <c r="G195" s="6"/>
    </row>
    <row r="196" spans="7:7">
      <c r="G196" s="6"/>
    </row>
    <row r="197" spans="7:7">
      <c r="G197" s="6"/>
    </row>
    <row r="198" spans="7:7">
      <c r="G198" s="6"/>
    </row>
    <row r="199" spans="7:7">
      <c r="G199" s="6"/>
    </row>
    <row r="200" spans="7:7">
      <c r="G200" s="6"/>
    </row>
    <row r="201" spans="7:7">
      <c r="G201" s="6"/>
    </row>
    <row r="202" spans="7:7">
      <c r="G202" s="6"/>
    </row>
    <row r="203" spans="7:7">
      <c r="G203" s="6"/>
    </row>
    <row r="204" spans="7:7">
      <c r="G204" s="6"/>
    </row>
    <row r="205" spans="7:7">
      <c r="G205" s="6"/>
    </row>
    <row r="206" spans="7:7">
      <c r="G206" s="6"/>
    </row>
    <row r="207" spans="7:7">
      <c r="G207" s="6"/>
    </row>
    <row r="208" spans="7:7">
      <c r="G208" s="6"/>
    </row>
    <row r="209" spans="7:7">
      <c r="G209" s="6"/>
    </row>
    <row r="210" spans="7:7">
      <c r="G210" s="6"/>
    </row>
    <row r="211" spans="7:7">
      <c r="G211" s="6"/>
    </row>
  </sheetData>
  <conditionalFormatting sqref="H2:H211">
    <cfRule type="expression" dxfId="14" priority="1">
      <formula>$H2="Blocked"</formula>
    </cfRule>
    <cfRule type="expression" dxfId="13" priority="2">
      <formula>$H2="Complete"</formula>
    </cfRule>
    <cfRule type="expression" dxfId="12" priority="3">
      <formula>$H2="In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Lookup_Lists!$B$2:$B$5</xm:f>
          </x14:formula1>
          <xm:sqref>F2:F211</xm:sqref>
        </x14:dataValidation>
        <x14:dataValidation type="list" xr:uid="{00000000-0002-0000-0100-000001000000}">
          <x14:formula1>
            <xm:f>Lookup_Lists!$A$2:$A$8</xm:f>
          </x14:formula1>
          <xm:sqref>H2:H211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selection activeCell="A9" sqref="A9:J12"/>
    </sheetView>
  </sheetViews>
  <sheetFormatPr defaultRowHeight="14.25"/>
  <cols>
    <col min="1" max="2" width="22" customWidth="1"/>
    <col min="3" max="4" width="38" customWidth="1"/>
    <col min="5" max="9" width="22" customWidth="1"/>
    <col min="10" max="10" width="44" customWidth="1"/>
  </cols>
  <sheetData>
    <row r="1" spans="1:10" ht="15">
      <c r="A1" s="5" t="s">
        <v>81</v>
      </c>
      <c r="B1" s="5" t="s">
        <v>82</v>
      </c>
      <c r="C1" s="5" t="s">
        <v>83</v>
      </c>
      <c r="D1" s="5" t="s">
        <v>48</v>
      </c>
      <c r="E1" s="5" t="s">
        <v>84</v>
      </c>
      <c r="F1" s="5" t="s">
        <v>85</v>
      </c>
      <c r="G1" s="5" t="s">
        <v>86</v>
      </c>
      <c r="H1" s="5" t="s">
        <v>44</v>
      </c>
      <c r="I1" s="5" t="s">
        <v>87</v>
      </c>
      <c r="J1" s="5" t="s">
        <v>6</v>
      </c>
    </row>
    <row r="2" spans="1:10">
      <c r="A2" s="3" t="s">
        <v>54</v>
      </c>
      <c r="B2" s="3" t="s">
        <v>88</v>
      </c>
      <c r="C2" s="3" t="s">
        <v>54</v>
      </c>
      <c r="D2" s="3"/>
      <c r="E2" s="3" t="s">
        <v>89</v>
      </c>
      <c r="F2" s="3" t="s">
        <v>90</v>
      </c>
      <c r="G2" s="4"/>
      <c r="H2" s="3" t="s">
        <v>91</v>
      </c>
      <c r="I2" s="3" t="s">
        <v>49</v>
      </c>
      <c r="J2" s="3" t="s">
        <v>92</v>
      </c>
    </row>
    <row r="3" spans="1:10">
      <c r="A3" s="3" t="s">
        <v>93</v>
      </c>
      <c r="B3" s="3" t="s">
        <v>88</v>
      </c>
      <c r="C3" s="3" t="s">
        <v>59</v>
      </c>
      <c r="D3" s="3"/>
      <c r="E3" s="3" t="s">
        <v>89</v>
      </c>
      <c r="F3" s="3" t="s">
        <v>90</v>
      </c>
      <c r="G3" s="4"/>
      <c r="H3" s="3" t="s">
        <v>57</v>
      </c>
      <c r="I3" s="3" t="s">
        <v>56</v>
      </c>
      <c r="J3" s="3" t="s">
        <v>94</v>
      </c>
    </row>
    <row r="4" spans="1:10" ht="28.5">
      <c r="A4" s="3" t="s">
        <v>95</v>
      </c>
      <c r="B4" s="3" t="s">
        <v>96</v>
      </c>
      <c r="C4" s="3" t="s">
        <v>63</v>
      </c>
      <c r="D4" s="3" t="s">
        <v>97</v>
      </c>
      <c r="E4" s="3" t="s">
        <v>89</v>
      </c>
      <c r="F4" s="3" t="s">
        <v>98</v>
      </c>
      <c r="G4" s="4"/>
      <c r="H4" s="3" t="s">
        <v>53</v>
      </c>
      <c r="I4" s="3" t="s">
        <v>60</v>
      </c>
      <c r="J4" s="3" t="s">
        <v>99</v>
      </c>
    </row>
    <row r="5" spans="1:10" ht="42.75">
      <c r="A5" s="3" t="s">
        <v>100</v>
      </c>
      <c r="B5" s="3" t="s">
        <v>101</v>
      </c>
      <c r="C5" s="3" t="s">
        <v>102</v>
      </c>
      <c r="D5" s="3" t="s">
        <v>97</v>
      </c>
      <c r="E5" s="3" t="s">
        <v>103</v>
      </c>
      <c r="F5" s="3" t="s">
        <v>98</v>
      </c>
      <c r="G5" s="4"/>
      <c r="H5" s="3" t="s">
        <v>97</v>
      </c>
      <c r="I5" s="3" t="s">
        <v>70</v>
      </c>
      <c r="J5" s="3" t="s">
        <v>104</v>
      </c>
    </row>
    <row r="6" spans="1:10" ht="28.5">
      <c r="A6" s="3" t="s">
        <v>105</v>
      </c>
      <c r="B6" s="3" t="s">
        <v>106</v>
      </c>
      <c r="C6" s="3" t="s">
        <v>68</v>
      </c>
      <c r="D6" s="3" t="s">
        <v>97</v>
      </c>
      <c r="E6" s="3" t="s">
        <v>103</v>
      </c>
      <c r="F6" s="3" t="s">
        <v>98</v>
      </c>
      <c r="G6" s="4"/>
      <c r="H6" s="3" t="s">
        <v>97</v>
      </c>
      <c r="I6" s="3" t="s">
        <v>65</v>
      </c>
      <c r="J6" s="3" t="s">
        <v>107</v>
      </c>
    </row>
    <row r="7" spans="1:10" ht="28.5">
      <c r="A7" s="3" t="s">
        <v>108</v>
      </c>
      <c r="B7" s="3" t="s">
        <v>96</v>
      </c>
      <c r="C7" s="3" t="s">
        <v>75</v>
      </c>
      <c r="D7" s="3" t="s">
        <v>97</v>
      </c>
      <c r="E7" s="3" t="s">
        <v>89</v>
      </c>
      <c r="F7" s="3" t="s">
        <v>98</v>
      </c>
      <c r="G7" s="4"/>
      <c r="H7" s="3" t="s">
        <v>97</v>
      </c>
      <c r="I7" s="3" t="s">
        <v>73</v>
      </c>
      <c r="J7" s="3" t="s">
        <v>109</v>
      </c>
    </row>
    <row r="8" spans="1:10" ht="28.5">
      <c r="A8" s="3" t="s">
        <v>110</v>
      </c>
      <c r="B8" s="3" t="s">
        <v>96</v>
      </c>
      <c r="C8" s="3" t="s">
        <v>111</v>
      </c>
      <c r="D8" s="3" t="s">
        <v>97</v>
      </c>
      <c r="E8" s="3" t="s">
        <v>89</v>
      </c>
      <c r="F8" s="3" t="s">
        <v>98</v>
      </c>
      <c r="G8" s="4"/>
      <c r="H8" s="3" t="s">
        <v>97</v>
      </c>
      <c r="I8" s="3" t="s">
        <v>80</v>
      </c>
      <c r="J8" s="3" t="s">
        <v>112</v>
      </c>
    </row>
    <row r="9" spans="1:10" ht="28.5">
      <c r="A9" s="3" t="s">
        <v>293</v>
      </c>
      <c r="B9" s="3" t="s">
        <v>96</v>
      </c>
      <c r="C9" s="3" t="s">
        <v>294</v>
      </c>
      <c r="D9" s="3"/>
      <c r="E9" s="3" t="s">
        <v>89</v>
      </c>
      <c r="F9" s="3" t="s">
        <v>98</v>
      </c>
      <c r="G9" s="4"/>
      <c r="H9" s="3" t="s">
        <v>53</v>
      </c>
      <c r="I9" s="3" t="s">
        <v>60</v>
      </c>
      <c r="J9" s="3" t="s">
        <v>295</v>
      </c>
    </row>
    <row r="10" spans="1:10" ht="28.5">
      <c r="A10" s="3" t="s">
        <v>217</v>
      </c>
      <c r="B10" s="3" t="s">
        <v>96</v>
      </c>
      <c r="C10" s="3" t="s">
        <v>75</v>
      </c>
      <c r="D10" s="3"/>
      <c r="E10" s="3" t="s">
        <v>89</v>
      </c>
      <c r="F10" s="3" t="s">
        <v>98</v>
      </c>
      <c r="G10" s="4"/>
      <c r="H10" s="3" t="s">
        <v>57</v>
      </c>
      <c r="I10" s="3" t="s">
        <v>73</v>
      </c>
      <c r="J10" s="3" t="s">
        <v>296</v>
      </c>
    </row>
    <row r="11" spans="1:10" ht="28.5">
      <c r="A11" s="3" t="s">
        <v>278</v>
      </c>
      <c r="B11" s="3" t="s">
        <v>106</v>
      </c>
      <c r="C11" s="3" t="s">
        <v>68</v>
      </c>
      <c r="D11" s="3"/>
      <c r="E11" s="3" t="s">
        <v>297</v>
      </c>
      <c r="F11" s="3" t="s">
        <v>98</v>
      </c>
      <c r="G11" s="4"/>
      <c r="H11" s="3" t="s">
        <v>57</v>
      </c>
      <c r="I11" s="3" t="s">
        <v>73</v>
      </c>
      <c r="J11" s="3" t="s">
        <v>298</v>
      </c>
    </row>
    <row r="12" spans="1:10" ht="28.5">
      <c r="A12" s="3" t="s">
        <v>299</v>
      </c>
      <c r="B12" s="3" t="s">
        <v>101</v>
      </c>
      <c r="C12" s="3" t="s">
        <v>72</v>
      </c>
      <c r="D12" s="3"/>
      <c r="E12" s="3" t="s">
        <v>297</v>
      </c>
      <c r="F12" s="3" t="s">
        <v>98</v>
      </c>
      <c r="G12" s="4"/>
      <c r="H12" s="3" t="s">
        <v>57</v>
      </c>
      <c r="I12" s="3" t="s">
        <v>78</v>
      </c>
      <c r="J12" s="3" t="s">
        <v>300</v>
      </c>
    </row>
    <row r="13" spans="1:10">
      <c r="A13" s="3"/>
      <c r="B13" s="3"/>
      <c r="C13" s="3"/>
      <c r="D13" s="3"/>
      <c r="E13" s="3"/>
      <c r="F13" s="3"/>
      <c r="G13" s="4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4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4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4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4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4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4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4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4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4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4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4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4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4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4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4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4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4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4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4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4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4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4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4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4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4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4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4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4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4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4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4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4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4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4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4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4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4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4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4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4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4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4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4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4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4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4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4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4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4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4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4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4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4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4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4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4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4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4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4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4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4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4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4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4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4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4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4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4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4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4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4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4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4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4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4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4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4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4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4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4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4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4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4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4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4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4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4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4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4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4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4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4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4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4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4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4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4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4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4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4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4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4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4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4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4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4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4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4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4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4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4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4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4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4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4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4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4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4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4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4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4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4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4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4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4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4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4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4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4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4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4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4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4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4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4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4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4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4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4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4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4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4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4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4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4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4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4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4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4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4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4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4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4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4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4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4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4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4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4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4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4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4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4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4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4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4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4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4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4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4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4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4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4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4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4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4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4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4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4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4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4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4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4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4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4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4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4"/>
      <c r="H200" s="3"/>
      <c r="I200" s="3"/>
      <c r="J200" s="3"/>
    </row>
  </sheetData>
  <conditionalFormatting sqref="H2:H200">
    <cfRule type="expression" dxfId="11" priority="1">
      <formula>$H2="Blocked"</formula>
    </cfRule>
    <cfRule type="expression" dxfId="10" priority="2">
      <formula>$H2="Complete"</formula>
    </cfRule>
    <cfRule type="expression" dxfId="9" priority="3">
      <formula>$H2="In Progress"</formula>
    </cfRule>
  </conditionalFormatting>
  <dataValidations count="1">
    <dataValidation type="list" sqref="H2:H200" xr:uid="{00000000-0002-0000-0200-000002000000}">
      <formula1>"Not Started,In Progress,TBD,Mirrored,N/A,Blocked"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Lookup_Lists!$D$2:$D$5</xm:f>
          </x14:formula1>
          <xm:sqref>E2:E200</xm:sqref>
        </x14:dataValidation>
        <x14:dataValidation type="list" xr:uid="{00000000-0002-0000-0200-000001000000}">
          <x14:formula1>
            <xm:f>Lookup_Lists!$C$2:$C$4</xm:f>
          </x14:formula1>
          <xm:sqref>F2:F200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0"/>
  <sheetViews>
    <sheetView workbookViewId="0">
      <selection activeCell="A6" sqref="A6:M9"/>
    </sheetView>
  </sheetViews>
  <sheetFormatPr defaultRowHeight="14.25"/>
  <cols>
    <col min="1" max="1" width="20" customWidth="1"/>
    <col min="2" max="2" width="35.5" style="8" customWidth="1"/>
    <col min="3" max="9" width="20" customWidth="1"/>
    <col min="10" max="10" width="34" customWidth="1"/>
    <col min="11" max="12" width="20" customWidth="1"/>
    <col min="13" max="13" width="42" customWidth="1"/>
  </cols>
  <sheetData>
    <row r="1" spans="1:13" ht="15">
      <c r="A1" s="5" t="s">
        <v>113</v>
      </c>
      <c r="B1" s="7" t="s">
        <v>114</v>
      </c>
      <c r="C1" s="5" t="s">
        <v>115</v>
      </c>
      <c r="D1" s="5" t="s">
        <v>116</v>
      </c>
      <c r="E1" s="5" t="s">
        <v>83</v>
      </c>
      <c r="F1" s="5" t="s">
        <v>48</v>
      </c>
      <c r="G1" s="5" t="s">
        <v>117</v>
      </c>
      <c r="H1" s="5" t="s">
        <v>118</v>
      </c>
      <c r="I1" s="5" t="s">
        <v>119</v>
      </c>
      <c r="J1" s="5" t="s">
        <v>120</v>
      </c>
      <c r="K1" s="5" t="s">
        <v>44</v>
      </c>
      <c r="L1" s="5" t="s">
        <v>41</v>
      </c>
      <c r="M1" s="5" t="s">
        <v>6</v>
      </c>
    </row>
    <row r="2" spans="1:13" ht="28.5">
      <c r="A2" s="3" t="s">
        <v>121</v>
      </c>
      <c r="B2" s="8" t="s">
        <v>122</v>
      </c>
      <c r="C2" s="3" t="s">
        <v>123</v>
      </c>
      <c r="D2" s="3" t="s">
        <v>105</v>
      </c>
      <c r="E2" s="3" t="s">
        <v>68</v>
      </c>
      <c r="F2" s="3" t="s">
        <v>97</v>
      </c>
      <c r="G2" s="3" t="s">
        <v>124</v>
      </c>
      <c r="H2" s="3" t="s">
        <v>125</v>
      </c>
      <c r="I2" s="3" t="s">
        <v>124</v>
      </c>
      <c r="J2" s="3" t="s">
        <v>126</v>
      </c>
      <c r="K2" s="3" t="s">
        <v>57</v>
      </c>
      <c r="L2" s="3" t="s">
        <v>51</v>
      </c>
      <c r="M2" s="3"/>
    </row>
    <row r="3" spans="1:13" ht="28.5">
      <c r="A3" s="3" t="s">
        <v>127</v>
      </c>
      <c r="B3" s="8" t="s">
        <v>128</v>
      </c>
      <c r="C3" s="3" t="s">
        <v>129</v>
      </c>
      <c r="D3" s="3" t="s">
        <v>130</v>
      </c>
      <c r="E3" s="3" t="s">
        <v>75</v>
      </c>
      <c r="F3" s="3" t="s">
        <v>97</v>
      </c>
      <c r="G3" s="3" t="s">
        <v>131</v>
      </c>
      <c r="H3" s="3" t="s">
        <v>125</v>
      </c>
      <c r="I3" s="3" t="s">
        <v>132</v>
      </c>
      <c r="J3" s="3" t="s">
        <v>133</v>
      </c>
      <c r="K3" s="3" t="s">
        <v>57</v>
      </c>
      <c r="L3" s="3" t="s">
        <v>51</v>
      </c>
      <c r="M3" s="3"/>
    </row>
    <row r="4" spans="1:13">
      <c r="A4" s="3" t="s">
        <v>134</v>
      </c>
      <c r="B4" s="8" t="s">
        <v>135</v>
      </c>
      <c r="C4" s="3" t="s">
        <v>136</v>
      </c>
      <c r="D4" s="3" t="s">
        <v>137</v>
      </c>
      <c r="E4" s="3" t="s">
        <v>138</v>
      </c>
      <c r="F4" s="3" t="s">
        <v>97</v>
      </c>
      <c r="G4" s="3" t="s">
        <v>139</v>
      </c>
      <c r="H4" s="3" t="s">
        <v>140</v>
      </c>
      <c r="I4" s="3" t="s">
        <v>141</v>
      </c>
      <c r="J4" s="3" t="s">
        <v>142</v>
      </c>
      <c r="K4" s="3" t="s">
        <v>57</v>
      </c>
      <c r="L4" s="3" t="s">
        <v>51</v>
      </c>
      <c r="M4" s="3"/>
    </row>
    <row r="5" spans="1:13">
      <c r="A5" s="3" t="s">
        <v>143</v>
      </c>
      <c r="B5" s="8" t="s">
        <v>144</v>
      </c>
      <c r="C5" s="3" t="s">
        <v>136</v>
      </c>
      <c r="D5" s="3" t="s">
        <v>137</v>
      </c>
      <c r="E5" s="3" t="s">
        <v>138</v>
      </c>
      <c r="F5" s="3" t="s">
        <v>97</v>
      </c>
      <c r="G5" s="3" t="s">
        <v>145</v>
      </c>
      <c r="H5" s="3" t="s">
        <v>146</v>
      </c>
      <c r="I5" s="3" t="s">
        <v>141</v>
      </c>
      <c r="J5" s="3" t="s">
        <v>147</v>
      </c>
      <c r="K5" s="3" t="s">
        <v>57</v>
      </c>
      <c r="L5" s="3" t="s">
        <v>51</v>
      </c>
      <c r="M5" s="3"/>
    </row>
    <row r="6" spans="1:13" ht="28.5">
      <c r="A6" s="3" t="s">
        <v>148</v>
      </c>
      <c r="B6" s="8" t="s">
        <v>217</v>
      </c>
      <c r="C6" s="3" t="s">
        <v>96</v>
      </c>
      <c r="D6" s="3" t="s">
        <v>274</v>
      </c>
      <c r="E6" s="3" t="s">
        <v>75</v>
      </c>
      <c r="F6" s="3"/>
      <c r="G6" s="3" t="s">
        <v>275</v>
      </c>
      <c r="H6" s="3">
        <v>2026</v>
      </c>
      <c r="I6" s="3" t="s">
        <v>276</v>
      </c>
      <c r="J6" s="3" t="s">
        <v>166</v>
      </c>
      <c r="K6" s="3" t="s">
        <v>214</v>
      </c>
      <c r="L6" s="3" t="s">
        <v>51</v>
      </c>
      <c r="M6" s="3" t="s">
        <v>277</v>
      </c>
    </row>
    <row r="7" spans="1:13">
      <c r="A7" s="3" t="s">
        <v>149</v>
      </c>
      <c r="B7" s="8" t="s">
        <v>278</v>
      </c>
      <c r="C7" s="3" t="s">
        <v>210</v>
      </c>
      <c r="D7" s="3" t="s">
        <v>279</v>
      </c>
      <c r="E7" s="3" t="s">
        <v>68</v>
      </c>
      <c r="F7" s="3"/>
      <c r="G7" s="3" t="s">
        <v>131</v>
      </c>
      <c r="H7" s="3" t="s">
        <v>280</v>
      </c>
      <c r="I7" s="3" t="s">
        <v>281</v>
      </c>
      <c r="J7" s="3" t="s">
        <v>282</v>
      </c>
      <c r="K7" s="3" t="s">
        <v>53</v>
      </c>
      <c r="L7" s="3" t="s">
        <v>51</v>
      </c>
      <c r="M7" s="3" t="s">
        <v>283</v>
      </c>
    </row>
    <row r="8" spans="1:13">
      <c r="A8" s="3" t="s">
        <v>150</v>
      </c>
      <c r="B8" s="8" t="s">
        <v>284</v>
      </c>
      <c r="C8" s="3" t="s">
        <v>285</v>
      </c>
      <c r="D8" s="3" t="s">
        <v>279</v>
      </c>
      <c r="E8" s="3" t="s">
        <v>286</v>
      </c>
      <c r="F8" s="3"/>
      <c r="G8" s="3" t="s">
        <v>287</v>
      </c>
      <c r="H8" s="3" t="s">
        <v>280</v>
      </c>
      <c r="I8" s="3" t="s">
        <v>276</v>
      </c>
      <c r="J8" s="3" t="s">
        <v>288</v>
      </c>
      <c r="K8" s="3" t="s">
        <v>57</v>
      </c>
      <c r="L8" s="3" t="s">
        <v>51</v>
      </c>
      <c r="M8" s="3" t="s">
        <v>289</v>
      </c>
    </row>
    <row r="9" spans="1:13" ht="28.5">
      <c r="A9" s="3" t="s">
        <v>216</v>
      </c>
      <c r="B9" s="8" t="s">
        <v>290</v>
      </c>
      <c r="C9" s="3" t="s">
        <v>101</v>
      </c>
      <c r="D9" s="3" t="s">
        <v>291</v>
      </c>
      <c r="E9" s="3" t="s">
        <v>72</v>
      </c>
      <c r="F9" s="3"/>
      <c r="G9" s="3" t="s">
        <v>91</v>
      </c>
      <c r="H9" s="3">
        <v>2010</v>
      </c>
      <c r="I9" s="3" t="s">
        <v>91</v>
      </c>
      <c r="J9" s="3" t="s">
        <v>166</v>
      </c>
      <c r="K9" s="3" t="s">
        <v>57</v>
      </c>
      <c r="L9" s="3" t="s">
        <v>51</v>
      </c>
      <c r="M9" t="s">
        <v>292</v>
      </c>
    </row>
    <row r="10" spans="1:13">
      <c r="A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A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</sheetData>
  <conditionalFormatting sqref="K2:K200">
    <cfRule type="expression" dxfId="8" priority="1">
      <formula>$K2="Blocked"</formula>
    </cfRule>
    <cfRule type="expression" dxfId="7" priority="2">
      <formula>$K2="Complete"</formula>
    </cfRule>
    <cfRule type="expression" dxfId="6" priority="3">
      <formula>$K2="In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Lookup_Lists!$A$2:$A$8</xm:f>
          </x14:formula1>
          <xm:sqref>K2:K200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selection activeCell="H1" sqref="H1"/>
    </sheetView>
  </sheetViews>
  <sheetFormatPr defaultRowHeight="14.25"/>
  <cols>
    <col min="1" max="2" width="24" customWidth="1"/>
    <col min="3" max="4" width="42" customWidth="1"/>
    <col min="5" max="7" width="24" customWidth="1"/>
    <col min="8" max="8" width="36" customWidth="1"/>
  </cols>
  <sheetData>
    <row r="1" spans="1:13" ht="15">
      <c r="A1" s="5" t="s">
        <v>151</v>
      </c>
      <c r="B1" s="5" t="s">
        <v>152</v>
      </c>
      <c r="C1" s="5" t="s">
        <v>153</v>
      </c>
      <c r="D1" s="5" t="s">
        <v>154</v>
      </c>
      <c r="E1" s="5" t="s">
        <v>155</v>
      </c>
      <c r="F1" s="5" t="s">
        <v>44</v>
      </c>
      <c r="G1" s="5" t="s">
        <v>41</v>
      </c>
      <c r="H1" s="5" t="s">
        <v>6</v>
      </c>
      <c r="I1" t="s">
        <v>324</v>
      </c>
      <c r="J1" t="s">
        <v>325</v>
      </c>
      <c r="K1" t="s">
        <v>326</v>
      </c>
      <c r="L1" t="s">
        <v>327</v>
      </c>
      <c r="M1" t="s">
        <v>328</v>
      </c>
    </row>
    <row r="2" spans="1:13" ht="28.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53</v>
      </c>
      <c r="G2" s="3" t="s">
        <v>51</v>
      </c>
      <c r="H2" s="3"/>
    </row>
    <row r="3" spans="1:13" ht="28.5">
      <c r="A3" s="3" t="s">
        <v>161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57</v>
      </c>
      <c r="G3" s="3" t="s">
        <v>51</v>
      </c>
      <c r="H3" s="3"/>
    </row>
    <row r="4" spans="1:13" ht="28.5">
      <c r="A4" s="3" t="s">
        <v>189</v>
      </c>
      <c r="B4" s="3" t="s">
        <v>74</v>
      </c>
      <c r="C4" s="3" t="s">
        <v>301</v>
      </c>
      <c r="D4" s="3" t="s">
        <v>302</v>
      </c>
      <c r="E4" s="3" t="s">
        <v>303</v>
      </c>
      <c r="F4" s="3" t="s">
        <v>304</v>
      </c>
      <c r="G4" s="3" t="s">
        <v>305</v>
      </c>
      <c r="H4" s="3" t="s">
        <v>53</v>
      </c>
      <c r="I4" t="s">
        <v>52</v>
      </c>
      <c r="J4" t="s">
        <v>51</v>
      </c>
      <c r="K4" t="s">
        <v>306</v>
      </c>
      <c r="L4" t="s">
        <v>75</v>
      </c>
      <c r="M4" t="s">
        <v>307</v>
      </c>
    </row>
    <row r="5" spans="1:13" ht="28.5">
      <c r="A5" s="3" t="s">
        <v>195</v>
      </c>
      <c r="B5" s="3" t="s">
        <v>227</v>
      </c>
      <c r="C5" s="3" t="s">
        <v>308</v>
      </c>
      <c r="D5" s="3" t="s">
        <v>309</v>
      </c>
      <c r="E5" s="3" t="s">
        <v>310</v>
      </c>
      <c r="F5" s="3" t="s">
        <v>311</v>
      </c>
      <c r="G5" s="3" t="s">
        <v>312</v>
      </c>
      <c r="H5" s="3" t="s">
        <v>57</v>
      </c>
      <c r="I5" t="s">
        <v>52</v>
      </c>
      <c r="J5" t="s">
        <v>51</v>
      </c>
      <c r="K5" t="s">
        <v>97</v>
      </c>
      <c r="L5" t="s">
        <v>77</v>
      </c>
      <c r="M5" t="s">
        <v>266</v>
      </c>
    </row>
    <row r="6" spans="1:13" ht="28.5">
      <c r="A6" s="3" t="s">
        <v>202</v>
      </c>
      <c r="B6" s="3" t="s">
        <v>234</v>
      </c>
      <c r="C6" s="3" t="s">
        <v>313</v>
      </c>
      <c r="D6" s="3" t="s">
        <v>281</v>
      </c>
      <c r="E6" s="3" t="s">
        <v>314</v>
      </c>
      <c r="F6" s="3" t="s">
        <v>315</v>
      </c>
      <c r="G6" s="3" t="s">
        <v>316</v>
      </c>
      <c r="H6" s="3" t="s">
        <v>57</v>
      </c>
      <c r="I6" t="s">
        <v>52</v>
      </c>
      <c r="J6" t="s">
        <v>51</v>
      </c>
      <c r="K6" t="s">
        <v>97</v>
      </c>
      <c r="L6" t="s">
        <v>317</v>
      </c>
      <c r="M6" t="s">
        <v>318</v>
      </c>
    </row>
    <row r="7" spans="1:13" ht="28.5">
      <c r="A7" s="3" t="s">
        <v>319</v>
      </c>
      <c r="B7" s="3" t="s">
        <v>196</v>
      </c>
      <c r="C7" s="3" t="s">
        <v>320</v>
      </c>
      <c r="D7" s="3" t="s">
        <v>281</v>
      </c>
      <c r="E7" s="3" t="s">
        <v>268</v>
      </c>
      <c r="F7" s="3" t="s">
        <v>321</v>
      </c>
      <c r="G7" s="3" t="s">
        <v>322</v>
      </c>
      <c r="H7" s="3" t="s">
        <v>57</v>
      </c>
      <c r="I7" t="s">
        <v>52</v>
      </c>
      <c r="J7" t="s">
        <v>51</v>
      </c>
      <c r="K7" t="s">
        <v>97</v>
      </c>
      <c r="L7" t="s">
        <v>269</v>
      </c>
      <c r="M7" t="s">
        <v>323</v>
      </c>
    </row>
    <row r="8" spans="1:13">
      <c r="A8" s="3"/>
      <c r="B8" s="3"/>
      <c r="C8" s="3"/>
      <c r="D8" s="3"/>
      <c r="E8" s="3"/>
      <c r="F8" s="3"/>
      <c r="G8" s="3"/>
      <c r="H8" s="3"/>
    </row>
    <row r="9" spans="1:13">
      <c r="A9" s="3"/>
      <c r="B9" s="3"/>
      <c r="C9" s="3"/>
      <c r="D9" s="3"/>
      <c r="E9" s="3"/>
      <c r="F9" s="3"/>
      <c r="G9" s="3"/>
      <c r="H9" s="3"/>
    </row>
    <row r="10" spans="1:13">
      <c r="A10" s="3"/>
      <c r="B10" s="3"/>
      <c r="C10" s="3"/>
      <c r="D10" s="3"/>
      <c r="E10" s="3"/>
      <c r="F10" s="3"/>
      <c r="G10" s="3"/>
      <c r="H10" s="3"/>
    </row>
    <row r="11" spans="1:13">
      <c r="A11" s="3"/>
      <c r="B11" s="3"/>
      <c r="C11" s="3"/>
      <c r="D11" s="3"/>
      <c r="E11" s="3"/>
      <c r="F11" s="3"/>
      <c r="G11" s="3"/>
      <c r="H11" s="3"/>
    </row>
    <row r="12" spans="1:13">
      <c r="A12" s="3"/>
      <c r="B12" s="3"/>
      <c r="C12" s="3"/>
      <c r="D12" s="3"/>
      <c r="E12" s="3"/>
      <c r="F12" s="3"/>
      <c r="G12" s="3"/>
      <c r="H12" s="3"/>
    </row>
    <row r="13" spans="1:13">
      <c r="A13" s="3"/>
      <c r="B13" s="3"/>
      <c r="C13" s="3"/>
      <c r="D13" s="3"/>
      <c r="E13" s="3"/>
      <c r="F13" s="3"/>
      <c r="G13" s="3"/>
      <c r="H13" s="3"/>
    </row>
    <row r="14" spans="1:13">
      <c r="A14" s="3"/>
      <c r="B14" s="3"/>
      <c r="C14" s="3"/>
      <c r="D14" s="3"/>
      <c r="E14" s="3"/>
      <c r="F14" s="3"/>
      <c r="G14" s="3"/>
      <c r="H14" s="3"/>
    </row>
    <row r="15" spans="1:13">
      <c r="A15" s="3"/>
      <c r="B15" s="3"/>
      <c r="C15" s="3"/>
      <c r="D15" s="3"/>
      <c r="E15" s="3"/>
      <c r="F15" s="3"/>
      <c r="G15" s="3"/>
      <c r="H15" s="3"/>
    </row>
    <row r="16" spans="1:13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3"/>
      <c r="B58" s="3"/>
      <c r="C58" s="3"/>
      <c r="D58" s="3"/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3"/>
      <c r="B61" s="3"/>
      <c r="C61" s="3"/>
      <c r="D61" s="3"/>
      <c r="E61" s="3"/>
      <c r="F61" s="3"/>
      <c r="G61" s="3"/>
      <c r="H61" s="3"/>
    </row>
    <row r="62" spans="1:8">
      <c r="A62" s="3"/>
      <c r="B62" s="3"/>
      <c r="C62" s="3"/>
      <c r="D62" s="3"/>
      <c r="E62" s="3"/>
      <c r="F62" s="3"/>
      <c r="G62" s="3"/>
      <c r="H62" s="3"/>
    </row>
    <row r="63" spans="1:8">
      <c r="A63" s="3"/>
      <c r="B63" s="3"/>
      <c r="C63" s="3"/>
      <c r="D63" s="3"/>
      <c r="E63" s="3"/>
      <c r="F63" s="3"/>
      <c r="G63" s="3"/>
      <c r="H63" s="3"/>
    </row>
    <row r="64" spans="1:8">
      <c r="A64" s="3"/>
      <c r="B64" s="3"/>
      <c r="C64" s="3"/>
      <c r="D64" s="3"/>
      <c r="E64" s="3"/>
      <c r="F64" s="3"/>
      <c r="G64" s="3"/>
      <c r="H64" s="3"/>
    </row>
    <row r="65" spans="1:8">
      <c r="A65" s="3"/>
      <c r="B65" s="3"/>
      <c r="C65" s="3"/>
      <c r="D65" s="3"/>
      <c r="E65" s="3"/>
      <c r="F65" s="3"/>
      <c r="G65" s="3"/>
      <c r="H65" s="3"/>
    </row>
    <row r="66" spans="1:8">
      <c r="A66" s="3"/>
      <c r="B66" s="3"/>
      <c r="C66" s="3"/>
      <c r="D66" s="3"/>
      <c r="E66" s="3"/>
      <c r="F66" s="3"/>
      <c r="G66" s="3"/>
      <c r="H66" s="3"/>
    </row>
    <row r="67" spans="1:8">
      <c r="A67" s="3"/>
      <c r="B67" s="3"/>
      <c r="C67" s="3"/>
      <c r="D67" s="3"/>
      <c r="E67" s="3"/>
      <c r="F67" s="3"/>
      <c r="G67" s="3"/>
      <c r="H67" s="3"/>
    </row>
    <row r="68" spans="1:8">
      <c r="A68" s="3"/>
      <c r="B68" s="3"/>
      <c r="C68" s="3"/>
      <c r="D68" s="3"/>
      <c r="E68" s="3"/>
      <c r="F68" s="3"/>
      <c r="G68" s="3"/>
      <c r="H68" s="3"/>
    </row>
    <row r="69" spans="1:8">
      <c r="A69" s="3"/>
      <c r="B69" s="3"/>
      <c r="C69" s="3"/>
      <c r="D69" s="3"/>
      <c r="E69" s="3"/>
      <c r="F69" s="3"/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  <row r="71" spans="1:8">
      <c r="A71" s="3"/>
      <c r="B71" s="3"/>
      <c r="C71" s="3"/>
      <c r="D71" s="3"/>
      <c r="E71" s="3"/>
      <c r="F71" s="3"/>
      <c r="G71" s="3"/>
      <c r="H71" s="3"/>
    </row>
    <row r="72" spans="1:8">
      <c r="A72" s="3"/>
      <c r="B72" s="3"/>
      <c r="C72" s="3"/>
      <c r="D72" s="3"/>
      <c r="E72" s="3"/>
      <c r="F72" s="3"/>
      <c r="G72" s="3"/>
      <c r="H72" s="3"/>
    </row>
    <row r="73" spans="1:8">
      <c r="A73" s="3"/>
      <c r="B73" s="3"/>
      <c r="C73" s="3"/>
      <c r="D73" s="3"/>
      <c r="E73" s="3"/>
      <c r="F73" s="3"/>
      <c r="G73" s="3"/>
      <c r="H73" s="3"/>
    </row>
    <row r="74" spans="1:8">
      <c r="A74" s="3"/>
      <c r="B74" s="3"/>
      <c r="C74" s="3"/>
      <c r="D74" s="3"/>
      <c r="E74" s="3"/>
      <c r="F74" s="3"/>
      <c r="G74" s="3"/>
      <c r="H74" s="3"/>
    </row>
    <row r="75" spans="1:8">
      <c r="A75" s="3"/>
      <c r="B75" s="3"/>
      <c r="C75" s="3"/>
      <c r="D75" s="3"/>
      <c r="E75" s="3"/>
      <c r="F75" s="3"/>
      <c r="G75" s="3"/>
      <c r="H75" s="3"/>
    </row>
    <row r="76" spans="1:8">
      <c r="A76" s="3"/>
      <c r="B76" s="3"/>
      <c r="C76" s="3"/>
      <c r="D76" s="3"/>
      <c r="E76" s="3"/>
      <c r="F76" s="3"/>
      <c r="G76" s="3"/>
      <c r="H76" s="3"/>
    </row>
    <row r="77" spans="1:8">
      <c r="A77" s="3"/>
      <c r="B77" s="3"/>
      <c r="C77" s="3"/>
      <c r="D77" s="3"/>
      <c r="E77" s="3"/>
      <c r="F77" s="3"/>
      <c r="G77" s="3"/>
      <c r="H77" s="3"/>
    </row>
    <row r="78" spans="1:8">
      <c r="A78" s="3"/>
      <c r="B78" s="3"/>
      <c r="C78" s="3"/>
      <c r="D78" s="3"/>
      <c r="E78" s="3"/>
      <c r="F78" s="3"/>
      <c r="G78" s="3"/>
      <c r="H78" s="3"/>
    </row>
    <row r="79" spans="1:8">
      <c r="A79" s="3"/>
      <c r="B79" s="3"/>
      <c r="C79" s="3"/>
      <c r="D79" s="3"/>
      <c r="E79" s="3"/>
      <c r="F79" s="3"/>
      <c r="G79" s="3"/>
      <c r="H79" s="3"/>
    </row>
    <row r="80" spans="1:8">
      <c r="A80" s="3"/>
      <c r="B80" s="3"/>
      <c r="C80" s="3"/>
      <c r="D80" s="3"/>
      <c r="E80" s="3"/>
      <c r="F80" s="3"/>
      <c r="G80" s="3"/>
      <c r="H80" s="3"/>
    </row>
    <row r="81" spans="1:8">
      <c r="A81" s="3"/>
      <c r="B81" s="3"/>
      <c r="C81" s="3"/>
      <c r="D81" s="3"/>
      <c r="E81" s="3"/>
      <c r="F81" s="3"/>
      <c r="G81" s="3"/>
      <c r="H81" s="3"/>
    </row>
    <row r="82" spans="1:8">
      <c r="A82" s="3"/>
      <c r="B82" s="3"/>
      <c r="C82" s="3"/>
      <c r="D82" s="3"/>
      <c r="E82" s="3"/>
      <c r="F82" s="3"/>
      <c r="G82" s="3"/>
      <c r="H82" s="3"/>
    </row>
    <row r="83" spans="1:8">
      <c r="A83" s="3"/>
      <c r="B83" s="3"/>
      <c r="C83" s="3"/>
      <c r="D83" s="3"/>
      <c r="E83" s="3"/>
      <c r="F83" s="3"/>
      <c r="G83" s="3"/>
      <c r="H83" s="3"/>
    </row>
    <row r="84" spans="1:8">
      <c r="A84" s="3"/>
      <c r="B84" s="3"/>
      <c r="C84" s="3"/>
      <c r="D84" s="3"/>
      <c r="E84" s="3"/>
      <c r="F84" s="3"/>
      <c r="G84" s="3"/>
      <c r="H84" s="3"/>
    </row>
    <row r="85" spans="1:8">
      <c r="A85" s="3"/>
      <c r="B85" s="3"/>
      <c r="C85" s="3"/>
      <c r="D85" s="3"/>
      <c r="E85" s="3"/>
      <c r="F85" s="3"/>
      <c r="G85" s="3"/>
      <c r="H85" s="3"/>
    </row>
    <row r="86" spans="1:8">
      <c r="A86" s="3"/>
      <c r="B86" s="3"/>
      <c r="C86" s="3"/>
      <c r="D86" s="3"/>
      <c r="E86" s="3"/>
      <c r="F86" s="3"/>
      <c r="G86" s="3"/>
      <c r="H86" s="3"/>
    </row>
    <row r="87" spans="1:8">
      <c r="A87" s="3"/>
      <c r="B87" s="3"/>
      <c r="C87" s="3"/>
      <c r="D87" s="3"/>
      <c r="E87" s="3"/>
      <c r="F87" s="3"/>
      <c r="G87" s="3"/>
      <c r="H87" s="3"/>
    </row>
    <row r="88" spans="1:8">
      <c r="A88" s="3"/>
      <c r="B88" s="3"/>
      <c r="C88" s="3"/>
      <c r="D88" s="3"/>
      <c r="E88" s="3"/>
      <c r="F88" s="3"/>
      <c r="G88" s="3"/>
      <c r="H88" s="3"/>
    </row>
    <row r="89" spans="1:8">
      <c r="A89" s="3"/>
      <c r="B89" s="3"/>
      <c r="C89" s="3"/>
      <c r="D89" s="3"/>
      <c r="E89" s="3"/>
      <c r="F89" s="3"/>
      <c r="G89" s="3"/>
      <c r="H89" s="3"/>
    </row>
    <row r="90" spans="1:8">
      <c r="A90" s="3"/>
      <c r="B90" s="3"/>
      <c r="C90" s="3"/>
      <c r="D90" s="3"/>
      <c r="E90" s="3"/>
      <c r="F90" s="3"/>
      <c r="G90" s="3"/>
      <c r="H90" s="3"/>
    </row>
    <row r="91" spans="1:8">
      <c r="A91" s="3"/>
      <c r="B91" s="3"/>
      <c r="C91" s="3"/>
      <c r="D91" s="3"/>
      <c r="E91" s="3"/>
      <c r="F91" s="3"/>
      <c r="G91" s="3"/>
      <c r="H91" s="3"/>
    </row>
    <row r="92" spans="1:8">
      <c r="A92" s="3"/>
      <c r="B92" s="3"/>
      <c r="C92" s="3"/>
      <c r="D92" s="3"/>
      <c r="E92" s="3"/>
      <c r="F92" s="3"/>
      <c r="G92" s="3"/>
      <c r="H92" s="3"/>
    </row>
    <row r="93" spans="1:8">
      <c r="A93" s="3"/>
      <c r="B93" s="3"/>
      <c r="C93" s="3"/>
      <c r="D93" s="3"/>
      <c r="E93" s="3"/>
      <c r="F93" s="3"/>
      <c r="G93" s="3"/>
      <c r="H93" s="3"/>
    </row>
    <row r="94" spans="1:8">
      <c r="A94" s="3"/>
      <c r="B94" s="3"/>
      <c r="C94" s="3"/>
      <c r="D94" s="3"/>
      <c r="E94" s="3"/>
      <c r="F94" s="3"/>
      <c r="G94" s="3"/>
      <c r="H94" s="3"/>
    </row>
    <row r="95" spans="1:8">
      <c r="A95" s="3"/>
      <c r="B95" s="3"/>
      <c r="C95" s="3"/>
      <c r="D95" s="3"/>
      <c r="E95" s="3"/>
      <c r="F95" s="3"/>
      <c r="G95" s="3"/>
      <c r="H95" s="3"/>
    </row>
    <row r="96" spans="1:8">
      <c r="A96" s="3"/>
      <c r="B96" s="3"/>
      <c r="C96" s="3"/>
      <c r="D96" s="3"/>
      <c r="E96" s="3"/>
      <c r="F96" s="3"/>
      <c r="G96" s="3"/>
      <c r="H96" s="3"/>
    </row>
    <row r="97" spans="1:8">
      <c r="A97" s="3"/>
      <c r="B97" s="3"/>
      <c r="C97" s="3"/>
      <c r="D97" s="3"/>
      <c r="E97" s="3"/>
      <c r="F97" s="3"/>
      <c r="G97" s="3"/>
      <c r="H97" s="3"/>
    </row>
    <row r="98" spans="1:8">
      <c r="A98" s="3"/>
      <c r="B98" s="3"/>
      <c r="C98" s="3"/>
      <c r="D98" s="3"/>
      <c r="E98" s="3"/>
      <c r="F98" s="3"/>
      <c r="G98" s="3"/>
      <c r="H98" s="3"/>
    </row>
    <row r="99" spans="1:8">
      <c r="A99" s="3"/>
      <c r="B99" s="3"/>
      <c r="C99" s="3"/>
      <c r="D99" s="3"/>
      <c r="E99" s="3"/>
      <c r="F99" s="3"/>
      <c r="G99" s="3"/>
      <c r="H99" s="3"/>
    </row>
    <row r="100" spans="1:8">
      <c r="A100" s="3"/>
      <c r="B100" s="3"/>
      <c r="C100" s="3"/>
      <c r="D100" s="3"/>
      <c r="E100" s="3"/>
      <c r="F100" s="3"/>
      <c r="G100" s="3"/>
      <c r="H100" s="3"/>
    </row>
    <row r="10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  <row r="103" spans="1:8">
      <c r="A103" s="3"/>
      <c r="B103" s="3"/>
      <c r="C103" s="3"/>
      <c r="D103" s="3"/>
      <c r="E103" s="3"/>
      <c r="F103" s="3"/>
      <c r="G103" s="3"/>
      <c r="H103" s="3"/>
    </row>
    <row r="104" spans="1:8">
      <c r="A104" s="3"/>
      <c r="B104" s="3"/>
      <c r="C104" s="3"/>
      <c r="D104" s="3"/>
      <c r="E104" s="3"/>
      <c r="F104" s="3"/>
      <c r="G104" s="3"/>
      <c r="H104" s="3"/>
    </row>
    <row r="105" spans="1:8">
      <c r="A105" s="3"/>
      <c r="B105" s="3"/>
      <c r="C105" s="3"/>
      <c r="D105" s="3"/>
      <c r="E105" s="3"/>
      <c r="F105" s="3"/>
      <c r="G105" s="3"/>
      <c r="H105" s="3"/>
    </row>
    <row r="106" spans="1:8">
      <c r="A106" s="3"/>
      <c r="B106" s="3"/>
      <c r="C106" s="3"/>
      <c r="D106" s="3"/>
      <c r="E106" s="3"/>
      <c r="F106" s="3"/>
      <c r="G106" s="3"/>
      <c r="H106" s="3"/>
    </row>
    <row r="107" spans="1:8">
      <c r="A107" s="3"/>
      <c r="B107" s="3"/>
      <c r="C107" s="3"/>
      <c r="D107" s="3"/>
      <c r="E107" s="3"/>
      <c r="F107" s="3"/>
      <c r="G107" s="3"/>
      <c r="H107" s="3"/>
    </row>
    <row r="108" spans="1:8">
      <c r="A108" s="3"/>
      <c r="B108" s="3"/>
      <c r="C108" s="3"/>
      <c r="D108" s="3"/>
      <c r="E108" s="3"/>
      <c r="F108" s="3"/>
      <c r="G108" s="3"/>
      <c r="H108" s="3"/>
    </row>
    <row r="109" spans="1:8">
      <c r="A109" s="3"/>
      <c r="B109" s="3"/>
      <c r="C109" s="3"/>
      <c r="D109" s="3"/>
      <c r="E109" s="3"/>
      <c r="F109" s="3"/>
      <c r="G109" s="3"/>
      <c r="H109" s="3"/>
    </row>
    <row r="110" spans="1:8">
      <c r="A110" s="3"/>
      <c r="B110" s="3"/>
      <c r="C110" s="3"/>
      <c r="D110" s="3"/>
      <c r="E110" s="3"/>
      <c r="F110" s="3"/>
      <c r="G110" s="3"/>
      <c r="H110" s="3"/>
    </row>
    <row r="111" spans="1:8">
      <c r="A111" s="3"/>
      <c r="B111" s="3"/>
      <c r="C111" s="3"/>
      <c r="D111" s="3"/>
      <c r="E111" s="3"/>
      <c r="F111" s="3"/>
      <c r="G111" s="3"/>
      <c r="H111" s="3"/>
    </row>
    <row r="112" spans="1:8">
      <c r="A112" s="3"/>
      <c r="B112" s="3"/>
      <c r="C112" s="3"/>
      <c r="D112" s="3"/>
      <c r="E112" s="3"/>
      <c r="F112" s="3"/>
      <c r="G112" s="3"/>
      <c r="H112" s="3"/>
    </row>
    <row r="113" spans="1:8">
      <c r="A113" s="3"/>
      <c r="B113" s="3"/>
      <c r="C113" s="3"/>
      <c r="D113" s="3"/>
      <c r="E113" s="3"/>
      <c r="F113" s="3"/>
      <c r="G113" s="3"/>
      <c r="H113" s="3"/>
    </row>
    <row r="114" spans="1:8">
      <c r="A114" s="3"/>
      <c r="B114" s="3"/>
      <c r="C114" s="3"/>
      <c r="D114" s="3"/>
      <c r="E114" s="3"/>
      <c r="F114" s="3"/>
      <c r="G114" s="3"/>
      <c r="H114" s="3"/>
    </row>
    <row r="115" spans="1:8">
      <c r="A115" s="3"/>
      <c r="B115" s="3"/>
      <c r="C115" s="3"/>
      <c r="D115" s="3"/>
      <c r="E115" s="3"/>
      <c r="F115" s="3"/>
      <c r="G115" s="3"/>
      <c r="H115" s="3"/>
    </row>
    <row r="116" spans="1:8">
      <c r="A116" s="3"/>
      <c r="B116" s="3"/>
      <c r="C116" s="3"/>
      <c r="D116" s="3"/>
      <c r="E116" s="3"/>
      <c r="F116" s="3"/>
      <c r="G116" s="3"/>
      <c r="H116" s="3"/>
    </row>
    <row r="117" spans="1:8">
      <c r="A117" s="3"/>
      <c r="B117" s="3"/>
      <c r="C117" s="3"/>
      <c r="D117" s="3"/>
      <c r="E117" s="3"/>
      <c r="F117" s="3"/>
      <c r="G117" s="3"/>
      <c r="H117" s="3"/>
    </row>
    <row r="118" spans="1:8">
      <c r="A118" s="3"/>
      <c r="B118" s="3"/>
      <c r="C118" s="3"/>
      <c r="D118" s="3"/>
      <c r="E118" s="3"/>
      <c r="F118" s="3"/>
      <c r="G118" s="3"/>
      <c r="H118" s="3"/>
    </row>
    <row r="119" spans="1:8">
      <c r="A119" s="3"/>
      <c r="B119" s="3"/>
      <c r="C119" s="3"/>
      <c r="D119" s="3"/>
      <c r="E119" s="3"/>
      <c r="F119" s="3"/>
      <c r="G119" s="3"/>
      <c r="H119" s="3"/>
    </row>
    <row r="120" spans="1:8">
      <c r="A120" s="3"/>
      <c r="B120" s="3"/>
      <c r="C120" s="3"/>
      <c r="D120" s="3"/>
      <c r="E120" s="3"/>
      <c r="F120" s="3"/>
      <c r="G120" s="3"/>
      <c r="H120" s="3"/>
    </row>
    <row r="121" spans="1:8">
      <c r="A121" s="3"/>
      <c r="B121" s="3"/>
      <c r="C121" s="3"/>
      <c r="D121" s="3"/>
      <c r="E121" s="3"/>
      <c r="F121" s="3"/>
      <c r="G121" s="3"/>
      <c r="H121" s="3"/>
    </row>
    <row r="122" spans="1:8">
      <c r="A122" s="3"/>
      <c r="B122" s="3"/>
      <c r="C122" s="3"/>
      <c r="D122" s="3"/>
      <c r="E122" s="3"/>
      <c r="F122" s="3"/>
      <c r="G122" s="3"/>
      <c r="H122" s="3"/>
    </row>
    <row r="123" spans="1:8">
      <c r="A123" s="3"/>
      <c r="B123" s="3"/>
      <c r="C123" s="3"/>
      <c r="D123" s="3"/>
      <c r="E123" s="3"/>
      <c r="F123" s="3"/>
      <c r="G123" s="3"/>
      <c r="H123" s="3"/>
    </row>
    <row r="124" spans="1:8">
      <c r="A124" s="3"/>
      <c r="B124" s="3"/>
      <c r="C124" s="3"/>
      <c r="D124" s="3"/>
      <c r="E124" s="3"/>
      <c r="F124" s="3"/>
      <c r="G124" s="3"/>
      <c r="H124" s="3"/>
    </row>
    <row r="125" spans="1:8">
      <c r="A125" s="3"/>
      <c r="B125" s="3"/>
      <c r="C125" s="3"/>
      <c r="D125" s="3"/>
      <c r="E125" s="3"/>
      <c r="F125" s="3"/>
      <c r="G125" s="3"/>
      <c r="H125" s="3"/>
    </row>
    <row r="126" spans="1:8">
      <c r="A126" s="3"/>
      <c r="B126" s="3"/>
      <c r="C126" s="3"/>
      <c r="D126" s="3"/>
      <c r="E126" s="3"/>
      <c r="F126" s="3"/>
      <c r="G126" s="3"/>
      <c r="H126" s="3"/>
    </row>
    <row r="127" spans="1:8">
      <c r="A127" s="3"/>
      <c r="B127" s="3"/>
      <c r="C127" s="3"/>
      <c r="D127" s="3"/>
      <c r="E127" s="3"/>
      <c r="F127" s="3"/>
      <c r="G127" s="3"/>
      <c r="H127" s="3"/>
    </row>
    <row r="128" spans="1:8">
      <c r="A128" s="3"/>
      <c r="B128" s="3"/>
      <c r="C128" s="3"/>
      <c r="D128" s="3"/>
      <c r="E128" s="3"/>
      <c r="F128" s="3"/>
      <c r="G128" s="3"/>
      <c r="H128" s="3"/>
    </row>
    <row r="129" spans="1:8">
      <c r="A129" s="3"/>
      <c r="B129" s="3"/>
      <c r="C129" s="3"/>
      <c r="D129" s="3"/>
      <c r="E129" s="3"/>
      <c r="F129" s="3"/>
      <c r="G129" s="3"/>
      <c r="H129" s="3"/>
    </row>
    <row r="130" spans="1:8">
      <c r="A130" s="3"/>
      <c r="B130" s="3"/>
      <c r="C130" s="3"/>
      <c r="D130" s="3"/>
      <c r="E130" s="3"/>
      <c r="F130" s="3"/>
      <c r="G130" s="3"/>
      <c r="H130" s="3"/>
    </row>
    <row r="131" spans="1:8">
      <c r="A131" s="3"/>
      <c r="B131" s="3"/>
      <c r="C131" s="3"/>
      <c r="D131" s="3"/>
      <c r="E131" s="3"/>
      <c r="F131" s="3"/>
      <c r="G131" s="3"/>
      <c r="H131" s="3"/>
    </row>
    <row r="132" spans="1:8">
      <c r="A132" s="3"/>
      <c r="B132" s="3"/>
      <c r="C132" s="3"/>
      <c r="D132" s="3"/>
      <c r="E132" s="3"/>
      <c r="F132" s="3"/>
      <c r="G132" s="3"/>
      <c r="H132" s="3"/>
    </row>
    <row r="133" spans="1:8">
      <c r="A133" s="3"/>
      <c r="B133" s="3"/>
      <c r="C133" s="3"/>
      <c r="D133" s="3"/>
      <c r="E133" s="3"/>
      <c r="F133" s="3"/>
      <c r="G133" s="3"/>
      <c r="H133" s="3"/>
    </row>
    <row r="134" spans="1:8">
      <c r="A134" s="3"/>
      <c r="B134" s="3"/>
      <c r="C134" s="3"/>
      <c r="D134" s="3"/>
      <c r="E134" s="3"/>
      <c r="F134" s="3"/>
      <c r="G134" s="3"/>
      <c r="H134" s="3"/>
    </row>
    <row r="135" spans="1:8">
      <c r="A135" s="3"/>
      <c r="B135" s="3"/>
      <c r="C135" s="3"/>
      <c r="D135" s="3"/>
      <c r="E135" s="3"/>
      <c r="F135" s="3"/>
      <c r="G135" s="3"/>
      <c r="H135" s="3"/>
    </row>
    <row r="136" spans="1:8">
      <c r="A136" s="3"/>
      <c r="B136" s="3"/>
      <c r="C136" s="3"/>
      <c r="D136" s="3"/>
      <c r="E136" s="3"/>
      <c r="F136" s="3"/>
      <c r="G136" s="3"/>
      <c r="H136" s="3"/>
    </row>
    <row r="137" spans="1:8">
      <c r="A137" s="3"/>
      <c r="B137" s="3"/>
      <c r="C137" s="3"/>
      <c r="D137" s="3"/>
      <c r="E137" s="3"/>
      <c r="F137" s="3"/>
      <c r="G137" s="3"/>
      <c r="H137" s="3"/>
    </row>
    <row r="138" spans="1:8">
      <c r="A138" s="3"/>
      <c r="B138" s="3"/>
      <c r="C138" s="3"/>
      <c r="D138" s="3"/>
      <c r="E138" s="3"/>
      <c r="F138" s="3"/>
      <c r="G138" s="3"/>
      <c r="H138" s="3"/>
    </row>
    <row r="139" spans="1:8">
      <c r="A139" s="3"/>
      <c r="B139" s="3"/>
      <c r="C139" s="3"/>
      <c r="D139" s="3"/>
      <c r="E139" s="3"/>
      <c r="F139" s="3"/>
      <c r="G139" s="3"/>
      <c r="H139" s="3"/>
    </row>
    <row r="140" spans="1:8">
      <c r="A140" s="3"/>
      <c r="B140" s="3"/>
      <c r="C140" s="3"/>
      <c r="D140" s="3"/>
      <c r="E140" s="3"/>
      <c r="F140" s="3"/>
      <c r="G140" s="3"/>
      <c r="H140" s="3"/>
    </row>
    <row r="141" spans="1:8">
      <c r="A141" s="3"/>
      <c r="B141" s="3"/>
      <c r="C141" s="3"/>
      <c r="D141" s="3"/>
      <c r="E141" s="3"/>
      <c r="F141" s="3"/>
      <c r="G141" s="3"/>
      <c r="H141" s="3"/>
    </row>
    <row r="142" spans="1:8">
      <c r="A142" s="3"/>
      <c r="B142" s="3"/>
      <c r="C142" s="3"/>
      <c r="D142" s="3"/>
      <c r="E142" s="3"/>
      <c r="F142" s="3"/>
      <c r="G142" s="3"/>
      <c r="H142" s="3"/>
    </row>
    <row r="143" spans="1:8">
      <c r="A143" s="3"/>
      <c r="B143" s="3"/>
      <c r="C143" s="3"/>
      <c r="D143" s="3"/>
      <c r="E143" s="3"/>
      <c r="F143" s="3"/>
      <c r="G143" s="3"/>
      <c r="H143" s="3"/>
    </row>
    <row r="144" spans="1:8">
      <c r="A144" s="3"/>
      <c r="B144" s="3"/>
      <c r="C144" s="3"/>
      <c r="D144" s="3"/>
      <c r="E144" s="3"/>
      <c r="F144" s="3"/>
      <c r="G144" s="3"/>
      <c r="H144" s="3"/>
    </row>
    <row r="145" spans="1:8">
      <c r="A145" s="3"/>
      <c r="B145" s="3"/>
      <c r="C145" s="3"/>
      <c r="D145" s="3"/>
      <c r="E145" s="3"/>
      <c r="F145" s="3"/>
      <c r="G145" s="3"/>
      <c r="H145" s="3"/>
    </row>
    <row r="146" spans="1:8">
      <c r="A146" s="3"/>
      <c r="B146" s="3"/>
      <c r="C146" s="3"/>
      <c r="D146" s="3"/>
      <c r="E146" s="3"/>
      <c r="F146" s="3"/>
      <c r="G146" s="3"/>
      <c r="H146" s="3"/>
    </row>
    <row r="147" spans="1:8">
      <c r="A147" s="3"/>
      <c r="B147" s="3"/>
      <c r="C147" s="3"/>
      <c r="D147" s="3"/>
      <c r="E147" s="3"/>
      <c r="F147" s="3"/>
      <c r="G147" s="3"/>
      <c r="H147" s="3"/>
    </row>
    <row r="148" spans="1:8">
      <c r="A148" s="3"/>
      <c r="B148" s="3"/>
      <c r="C148" s="3"/>
      <c r="D148" s="3"/>
      <c r="E148" s="3"/>
      <c r="F148" s="3"/>
      <c r="G148" s="3"/>
      <c r="H148" s="3"/>
    </row>
    <row r="149" spans="1:8">
      <c r="A149" s="3"/>
      <c r="B149" s="3"/>
      <c r="C149" s="3"/>
      <c r="D149" s="3"/>
      <c r="E149" s="3"/>
      <c r="F149" s="3"/>
      <c r="G149" s="3"/>
      <c r="H149" s="3"/>
    </row>
    <row r="150" spans="1:8">
      <c r="A150" s="3"/>
      <c r="B150" s="3"/>
      <c r="C150" s="3"/>
      <c r="D150" s="3"/>
      <c r="E150" s="3"/>
      <c r="F150" s="3"/>
      <c r="G150" s="3"/>
      <c r="H150" s="3"/>
    </row>
    <row r="151" spans="1:8">
      <c r="A151" s="3"/>
      <c r="B151" s="3"/>
      <c r="C151" s="3"/>
      <c r="D151" s="3"/>
      <c r="E151" s="3"/>
      <c r="F151" s="3"/>
      <c r="G151" s="3"/>
      <c r="H151" s="3"/>
    </row>
    <row r="152" spans="1:8">
      <c r="A152" s="3"/>
      <c r="B152" s="3"/>
      <c r="C152" s="3"/>
      <c r="D152" s="3"/>
      <c r="E152" s="3"/>
      <c r="F152" s="3"/>
      <c r="G152" s="3"/>
      <c r="H152" s="3"/>
    </row>
    <row r="153" spans="1:8">
      <c r="A153" s="3"/>
      <c r="B153" s="3"/>
      <c r="C153" s="3"/>
      <c r="D153" s="3"/>
      <c r="E153" s="3"/>
      <c r="F153" s="3"/>
      <c r="G153" s="3"/>
      <c r="H153" s="3"/>
    </row>
    <row r="154" spans="1:8">
      <c r="A154" s="3"/>
      <c r="B154" s="3"/>
      <c r="C154" s="3"/>
      <c r="D154" s="3"/>
      <c r="E154" s="3"/>
      <c r="F154" s="3"/>
      <c r="G154" s="3"/>
      <c r="H154" s="3"/>
    </row>
    <row r="155" spans="1:8">
      <c r="A155" s="3"/>
      <c r="B155" s="3"/>
      <c r="C155" s="3"/>
      <c r="D155" s="3"/>
      <c r="E155" s="3"/>
      <c r="F155" s="3"/>
      <c r="G155" s="3"/>
      <c r="H155" s="3"/>
    </row>
    <row r="156" spans="1:8">
      <c r="A156" s="3"/>
      <c r="B156" s="3"/>
      <c r="C156" s="3"/>
      <c r="D156" s="3"/>
      <c r="E156" s="3"/>
      <c r="F156" s="3"/>
      <c r="G156" s="3"/>
      <c r="H156" s="3"/>
    </row>
    <row r="157" spans="1:8">
      <c r="A157" s="3"/>
      <c r="B157" s="3"/>
      <c r="C157" s="3"/>
      <c r="D157" s="3"/>
      <c r="E157" s="3"/>
      <c r="F157" s="3"/>
      <c r="G157" s="3"/>
      <c r="H157" s="3"/>
    </row>
    <row r="158" spans="1:8">
      <c r="A158" s="3"/>
      <c r="B158" s="3"/>
      <c r="C158" s="3"/>
      <c r="D158" s="3"/>
      <c r="E158" s="3"/>
      <c r="F158" s="3"/>
      <c r="G158" s="3"/>
      <c r="H158" s="3"/>
    </row>
    <row r="159" spans="1:8">
      <c r="A159" s="3"/>
      <c r="B159" s="3"/>
      <c r="C159" s="3"/>
      <c r="D159" s="3"/>
      <c r="E159" s="3"/>
      <c r="F159" s="3"/>
      <c r="G159" s="3"/>
      <c r="H159" s="3"/>
    </row>
    <row r="160" spans="1:8">
      <c r="A160" s="3"/>
      <c r="B160" s="3"/>
      <c r="C160" s="3"/>
      <c r="D160" s="3"/>
      <c r="E160" s="3"/>
      <c r="F160" s="3"/>
      <c r="G160" s="3"/>
      <c r="H160" s="3"/>
    </row>
    <row r="161" spans="1:8">
      <c r="A161" s="3"/>
      <c r="B161" s="3"/>
      <c r="C161" s="3"/>
      <c r="D161" s="3"/>
      <c r="E161" s="3"/>
      <c r="F161" s="3"/>
      <c r="G161" s="3"/>
      <c r="H161" s="3"/>
    </row>
    <row r="162" spans="1:8">
      <c r="A162" s="3"/>
      <c r="B162" s="3"/>
      <c r="C162" s="3"/>
      <c r="D162" s="3"/>
      <c r="E162" s="3"/>
      <c r="F162" s="3"/>
      <c r="G162" s="3"/>
      <c r="H162" s="3"/>
    </row>
    <row r="163" spans="1:8">
      <c r="A163" s="3"/>
      <c r="B163" s="3"/>
      <c r="C163" s="3"/>
      <c r="D163" s="3"/>
      <c r="E163" s="3"/>
      <c r="F163" s="3"/>
      <c r="G163" s="3"/>
      <c r="H163" s="3"/>
    </row>
    <row r="164" spans="1:8">
      <c r="A164" s="3"/>
      <c r="B164" s="3"/>
      <c r="C164" s="3"/>
      <c r="D164" s="3"/>
      <c r="E164" s="3"/>
      <c r="F164" s="3"/>
      <c r="G164" s="3"/>
      <c r="H164" s="3"/>
    </row>
    <row r="165" spans="1:8">
      <c r="A165" s="3"/>
      <c r="B165" s="3"/>
      <c r="C165" s="3"/>
      <c r="D165" s="3"/>
      <c r="E165" s="3"/>
      <c r="F165" s="3"/>
      <c r="G165" s="3"/>
      <c r="H165" s="3"/>
    </row>
    <row r="166" spans="1:8">
      <c r="A166" s="3"/>
      <c r="B166" s="3"/>
      <c r="C166" s="3"/>
      <c r="D166" s="3"/>
      <c r="E166" s="3"/>
      <c r="F166" s="3"/>
      <c r="G166" s="3"/>
      <c r="H166" s="3"/>
    </row>
    <row r="167" spans="1:8">
      <c r="A167" s="3"/>
      <c r="B167" s="3"/>
      <c r="C167" s="3"/>
      <c r="D167" s="3"/>
      <c r="E167" s="3"/>
      <c r="F167" s="3"/>
      <c r="G167" s="3"/>
      <c r="H167" s="3"/>
    </row>
    <row r="168" spans="1:8">
      <c r="A168" s="3"/>
      <c r="B168" s="3"/>
      <c r="C168" s="3"/>
      <c r="D168" s="3"/>
      <c r="E168" s="3"/>
      <c r="F168" s="3"/>
      <c r="G168" s="3"/>
      <c r="H168" s="3"/>
    </row>
    <row r="169" spans="1:8">
      <c r="A169" s="3"/>
      <c r="B169" s="3"/>
      <c r="C169" s="3"/>
      <c r="D169" s="3"/>
      <c r="E169" s="3"/>
      <c r="F169" s="3"/>
      <c r="G169" s="3"/>
      <c r="H169" s="3"/>
    </row>
    <row r="170" spans="1:8">
      <c r="A170" s="3"/>
      <c r="B170" s="3"/>
      <c r="C170" s="3"/>
      <c r="D170" s="3"/>
      <c r="E170" s="3"/>
      <c r="F170" s="3"/>
      <c r="G170" s="3"/>
      <c r="H170" s="3"/>
    </row>
    <row r="171" spans="1:8">
      <c r="A171" s="3"/>
      <c r="B171" s="3"/>
      <c r="C171" s="3"/>
      <c r="D171" s="3"/>
      <c r="E171" s="3"/>
      <c r="F171" s="3"/>
      <c r="G171" s="3"/>
      <c r="H171" s="3"/>
    </row>
    <row r="172" spans="1:8">
      <c r="A172" s="3"/>
      <c r="B172" s="3"/>
      <c r="C172" s="3"/>
      <c r="D172" s="3"/>
      <c r="E172" s="3"/>
      <c r="F172" s="3"/>
      <c r="G172" s="3"/>
      <c r="H172" s="3"/>
    </row>
    <row r="173" spans="1:8">
      <c r="A173" s="3"/>
      <c r="B173" s="3"/>
      <c r="C173" s="3"/>
      <c r="D173" s="3"/>
      <c r="E173" s="3"/>
      <c r="F173" s="3"/>
      <c r="G173" s="3"/>
      <c r="H173" s="3"/>
    </row>
    <row r="174" spans="1:8">
      <c r="A174" s="3"/>
      <c r="B174" s="3"/>
      <c r="C174" s="3"/>
      <c r="D174" s="3"/>
      <c r="E174" s="3"/>
      <c r="F174" s="3"/>
      <c r="G174" s="3"/>
      <c r="H174" s="3"/>
    </row>
    <row r="175" spans="1:8">
      <c r="A175" s="3"/>
      <c r="B175" s="3"/>
      <c r="C175" s="3"/>
      <c r="D175" s="3"/>
      <c r="E175" s="3"/>
      <c r="F175" s="3"/>
      <c r="G175" s="3"/>
      <c r="H175" s="3"/>
    </row>
    <row r="176" spans="1:8">
      <c r="A176" s="3"/>
      <c r="B176" s="3"/>
      <c r="C176" s="3"/>
      <c r="D176" s="3"/>
      <c r="E176" s="3"/>
      <c r="F176" s="3"/>
      <c r="G176" s="3"/>
      <c r="H176" s="3"/>
    </row>
    <row r="177" spans="1:8">
      <c r="A177" s="3"/>
      <c r="B177" s="3"/>
      <c r="C177" s="3"/>
      <c r="D177" s="3"/>
      <c r="E177" s="3"/>
      <c r="F177" s="3"/>
      <c r="G177" s="3"/>
      <c r="H177" s="3"/>
    </row>
    <row r="178" spans="1:8">
      <c r="A178" s="3"/>
      <c r="B178" s="3"/>
      <c r="C178" s="3"/>
      <c r="D178" s="3"/>
      <c r="E178" s="3"/>
      <c r="F178" s="3"/>
      <c r="G178" s="3"/>
      <c r="H178" s="3"/>
    </row>
    <row r="179" spans="1:8">
      <c r="A179" s="3"/>
      <c r="B179" s="3"/>
      <c r="C179" s="3"/>
      <c r="D179" s="3"/>
      <c r="E179" s="3"/>
      <c r="F179" s="3"/>
      <c r="G179" s="3"/>
      <c r="H179" s="3"/>
    </row>
    <row r="180" spans="1:8">
      <c r="A180" s="3"/>
      <c r="B180" s="3"/>
      <c r="C180" s="3"/>
      <c r="D180" s="3"/>
      <c r="E180" s="3"/>
      <c r="F180" s="3"/>
      <c r="G180" s="3"/>
      <c r="H180" s="3"/>
    </row>
    <row r="181" spans="1:8">
      <c r="A181" s="3"/>
      <c r="B181" s="3"/>
      <c r="C181" s="3"/>
      <c r="D181" s="3"/>
      <c r="E181" s="3"/>
      <c r="F181" s="3"/>
      <c r="G181" s="3"/>
      <c r="H181" s="3"/>
    </row>
    <row r="182" spans="1:8">
      <c r="A182" s="3"/>
      <c r="B182" s="3"/>
      <c r="C182" s="3"/>
      <c r="D182" s="3"/>
      <c r="E182" s="3"/>
      <c r="F182" s="3"/>
      <c r="G182" s="3"/>
      <c r="H182" s="3"/>
    </row>
    <row r="183" spans="1:8">
      <c r="A183" s="3"/>
      <c r="B183" s="3"/>
      <c r="C183" s="3"/>
      <c r="D183" s="3"/>
      <c r="E183" s="3"/>
      <c r="F183" s="3"/>
      <c r="G183" s="3"/>
      <c r="H183" s="3"/>
    </row>
    <row r="184" spans="1:8">
      <c r="A184" s="3"/>
      <c r="B184" s="3"/>
      <c r="C184" s="3"/>
      <c r="D184" s="3"/>
      <c r="E184" s="3"/>
      <c r="F184" s="3"/>
      <c r="G184" s="3"/>
      <c r="H184" s="3"/>
    </row>
    <row r="185" spans="1:8">
      <c r="A185" s="3"/>
      <c r="B185" s="3"/>
      <c r="C185" s="3"/>
      <c r="D185" s="3"/>
      <c r="E185" s="3"/>
      <c r="F185" s="3"/>
      <c r="G185" s="3"/>
      <c r="H185" s="3"/>
    </row>
    <row r="186" spans="1:8">
      <c r="A186" s="3"/>
      <c r="B186" s="3"/>
      <c r="C186" s="3"/>
      <c r="D186" s="3"/>
      <c r="E186" s="3"/>
      <c r="F186" s="3"/>
      <c r="G186" s="3"/>
      <c r="H186" s="3"/>
    </row>
    <row r="187" spans="1:8">
      <c r="A187" s="3"/>
      <c r="B187" s="3"/>
      <c r="C187" s="3"/>
      <c r="D187" s="3"/>
      <c r="E187" s="3"/>
      <c r="F187" s="3"/>
      <c r="G187" s="3"/>
      <c r="H187" s="3"/>
    </row>
    <row r="188" spans="1:8">
      <c r="A188" s="3"/>
      <c r="B188" s="3"/>
      <c r="C188" s="3"/>
      <c r="D188" s="3"/>
      <c r="E188" s="3"/>
      <c r="F188" s="3"/>
      <c r="G188" s="3"/>
      <c r="H188" s="3"/>
    </row>
    <row r="189" spans="1:8">
      <c r="A189" s="3"/>
      <c r="B189" s="3"/>
      <c r="C189" s="3"/>
      <c r="D189" s="3"/>
      <c r="E189" s="3"/>
      <c r="F189" s="3"/>
      <c r="G189" s="3"/>
      <c r="H189" s="3"/>
    </row>
    <row r="190" spans="1:8">
      <c r="A190" s="3"/>
      <c r="B190" s="3"/>
      <c r="C190" s="3"/>
      <c r="D190" s="3"/>
      <c r="E190" s="3"/>
      <c r="F190" s="3"/>
      <c r="G190" s="3"/>
      <c r="H190" s="3"/>
    </row>
    <row r="191" spans="1:8">
      <c r="A191" s="3"/>
      <c r="B191" s="3"/>
      <c r="C191" s="3"/>
      <c r="D191" s="3"/>
      <c r="E191" s="3"/>
      <c r="F191" s="3"/>
      <c r="G191" s="3"/>
      <c r="H191" s="3"/>
    </row>
    <row r="192" spans="1:8">
      <c r="A192" s="3"/>
      <c r="B192" s="3"/>
      <c r="C192" s="3"/>
      <c r="D192" s="3"/>
      <c r="E192" s="3"/>
      <c r="F192" s="3"/>
      <c r="G192" s="3"/>
      <c r="H192" s="3"/>
    </row>
    <row r="193" spans="1:8">
      <c r="A193" s="3"/>
      <c r="B193" s="3"/>
      <c r="C193" s="3"/>
      <c r="D193" s="3"/>
      <c r="E193" s="3"/>
      <c r="F193" s="3"/>
      <c r="G193" s="3"/>
      <c r="H193" s="3"/>
    </row>
    <row r="194" spans="1:8">
      <c r="A194" s="3"/>
      <c r="B194" s="3"/>
      <c r="C194" s="3"/>
      <c r="D194" s="3"/>
      <c r="E194" s="3"/>
      <c r="F194" s="3"/>
      <c r="G194" s="3"/>
      <c r="H194" s="3"/>
    </row>
    <row r="195" spans="1:8">
      <c r="A195" s="3"/>
      <c r="B195" s="3"/>
      <c r="C195" s="3"/>
      <c r="D195" s="3"/>
      <c r="E195" s="3"/>
      <c r="F195" s="3"/>
      <c r="G195" s="3"/>
      <c r="H195" s="3"/>
    </row>
    <row r="196" spans="1:8">
      <c r="A196" s="3"/>
      <c r="B196" s="3"/>
      <c r="C196" s="3"/>
      <c r="D196" s="3"/>
      <c r="E196" s="3"/>
      <c r="F196" s="3"/>
      <c r="G196" s="3"/>
      <c r="H196" s="3"/>
    </row>
    <row r="197" spans="1:8">
      <c r="A197" s="3"/>
      <c r="B197" s="3"/>
      <c r="C197" s="3"/>
      <c r="D197" s="3"/>
      <c r="E197" s="3"/>
      <c r="F197" s="3"/>
      <c r="G197" s="3"/>
      <c r="H197" s="3"/>
    </row>
    <row r="198" spans="1:8">
      <c r="A198" s="3"/>
      <c r="B198" s="3"/>
      <c r="C198" s="3"/>
      <c r="D198" s="3"/>
      <c r="E198" s="3"/>
      <c r="F198" s="3"/>
      <c r="G198" s="3"/>
      <c r="H198" s="3"/>
    </row>
    <row r="199" spans="1:8">
      <c r="A199" s="3"/>
      <c r="B199" s="3"/>
      <c r="C199" s="3"/>
      <c r="D199" s="3"/>
      <c r="E199" s="3"/>
      <c r="F199" s="3"/>
      <c r="G199" s="3"/>
      <c r="H199" s="3"/>
    </row>
    <row r="200" spans="1:8">
      <c r="A200" s="3"/>
      <c r="B200" s="3"/>
      <c r="C200" s="3"/>
      <c r="D200" s="3"/>
      <c r="E200" s="3"/>
      <c r="F200" s="3"/>
      <c r="G200" s="3"/>
      <c r="H200" s="3"/>
    </row>
  </sheetData>
  <phoneticPr fontId="4" type="noConversion"/>
  <conditionalFormatting sqref="F2:F200">
    <cfRule type="expression" dxfId="5" priority="1">
      <formula>$F2="Blocked"</formula>
    </cfRule>
    <cfRule type="expression" dxfId="4" priority="2">
      <formula>$F2="Complete"</formula>
    </cfRule>
    <cfRule type="expression" dxfId="3" priority="3">
      <formula>$F2="In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Lookup_Lists!$A$2:$A$8</xm:f>
          </x14:formula1>
          <xm:sqref>F2:F200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0"/>
  <sheetViews>
    <sheetView tabSelected="1" workbookViewId="0"/>
  </sheetViews>
  <sheetFormatPr defaultRowHeight="14.25"/>
  <cols>
    <col min="1" max="6" width="20" customWidth="1"/>
    <col min="7" max="7" width="44" customWidth="1"/>
    <col min="8" max="10" width="20" customWidth="1"/>
    <col min="11" max="13" width="34" customWidth="1"/>
  </cols>
  <sheetData>
    <row r="1" spans="1:13" ht="15">
      <c r="A1" s="5" t="s">
        <v>167</v>
      </c>
      <c r="B1" s="5" t="s">
        <v>168</v>
      </c>
      <c r="C1" s="5" t="s">
        <v>114</v>
      </c>
      <c r="D1" s="5" t="s">
        <v>169</v>
      </c>
      <c r="E1" s="5" t="s">
        <v>170</v>
      </c>
      <c r="F1" s="5" t="s">
        <v>171</v>
      </c>
      <c r="G1" s="5" t="s">
        <v>172</v>
      </c>
      <c r="H1" s="5" t="s">
        <v>44</v>
      </c>
      <c r="I1" s="5" t="s">
        <v>42</v>
      </c>
      <c r="J1" s="5" t="s">
        <v>41</v>
      </c>
      <c r="K1" s="5" t="s">
        <v>173</v>
      </c>
      <c r="L1" s="5" t="s">
        <v>155</v>
      </c>
      <c r="M1" s="5" t="s">
        <v>6</v>
      </c>
    </row>
    <row r="2" spans="1:13" ht="28.5">
      <c r="A2" s="3" t="s">
        <v>174</v>
      </c>
      <c r="B2" s="3" t="s">
        <v>175</v>
      </c>
      <c r="C2" s="3" t="s">
        <v>176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53</v>
      </c>
      <c r="I2" s="3" t="s">
        <v>52</v>
      </c>
      <c r="J2" s="3" t="s">
        <v>51</v>
      </c>
      <c r="K2" s="3" t="s">
        <v>181</v>
      </c>
      <c r="L2" s="3" t="s">
        <v>77</v>
      </c>
      <c r="M2" s="3"/>
    </row>
    <row r="3" spans="1:13" ht="28.5">
      <c r="A3" s="3" t="s">
        <v>182</v>
      </c>
      <c r="B3" s="3" t="s">
        <v>79</v>
      </c>
      <c r="C3" s="3" t="s">
        <v>183</v>
      </c>
      <c r="D3" s="3" t="s">
        <v>184</v>
      </c>
      <c r="E3" s="3" t="s">
        <v>185</v>
      </c>
      <c r="F3" s="3" t="s">
        <v>186</v>
      </c>
      <c r="G3" s="3" t="s">
        <v>187</v>
      </c>
      <c r="H3" s="3" t="s">
        <v>57</v>
      </c>
      <c r="I3" s="3" t="s">
        <v>52</v>
      </c>
      <c r="J3" s="3" t="s">
        <v>51</v>
      </c>
      <c r="K3" s="3"/>
      <c r="L3" s="3" t="s">
        <v>188</v>
      </c>
      <c r="M3" s="3"/>
    </row>
    <row r="4" spans="1:13" ht="28.5">
      <c r="A4" s="3" t="s">
        <v>189</v>
      </c>
      <c r="B4" s="3" t="s">
        <v>66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57</v>
      </c>
      <c r="I4" s="3" t="s">
        <v>52</v>
      </c>
      <c r="J4" s="3" t="s">
        <v>51</v>
      </c>
      <c r="K4" s="3"/>
      <c r="L4" s="3" t="s">
        <v>75</v>
      </c>
      <c r="M4" s="3"/>
    </row>
    <row r="5" spans="1:13" ht="42.75">
      <c r="A5" s="3" t="s">
        <v>195</v>
      </c>
      <c r="B5" s="3" t="s">
        <v>196</v>
      </c>
      <c r="C5" s="3" t="s">
        <v>197</v>
      </c>
      <c r="D5" s="3" t="s">
        <v>198</v>
      </c>
      <c r="E5" s="3" t="s">
        <v>199</v>
      </c>
      <c r="F5" s="3" t="s">
        <v>200</v>
      </c>
      <c r="G5" s="3" t="s">
        <v>201</v>
      </c>
      <c r="H5" s="3" t="s">
        <v>57</v>
      </c>
      <c r="I5" s="3" t="s">
        <v>71</v>
      </c>
      <c r="J5" s="3" t="s">
        <v>51</v>
      </c>
      <c r="K5" s="3"/>
      <c r="L5" s="3" t="s">
        <v>111</v>
      </c>
      <c r="M5" s="3"/>
    </row>
    <row r="6" spans="1:13" ht="57">
      <c r="A6" s="3" t="s">
        <v>202</v>
      </c>
      <c r="B6" s="3" t="s">
        <v>196</v>
      </c>
      <c r="C6" s="3" t="s">
        <v>203</v>
      </c>
      <c r="D6" s="3" t="s">
        <v>204</v>
      </c>
      <c r="E6" s="3" t="s">
        <v>199</v>
      </c>
      <c r="F6" s="3" t="s">
        <v>205</v>
      </c>
      <c r="G6" s="3" t="s">
        <v>206</v>
      </c>
      <c r="H6" s="3" t="s">
        <v>57</v>
      </c>
      <c r="I6" s="3" t="s">
        <v>52</v>
      </c>
      <c r="J6" s="3" t="s">
        <v>51</v>
      </c>
      <c r="K6" s="3"/>
      <c r="L6" s="3" t="s">
        <v>111</v>
      </c>
      <c r="M6" s="3"/>
    </row>
    <row r="7" spans="1:1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</sheetData>
  <conditionalFormatting sqref="H2:H200">
    <cfRule type="expression" dxfId="2" priority="1">
      <formula>$H2="Blocked"</formula>
    </cfRule>
    <cfRule type="expression" dxfId="1" priority="2">
      <formula>$H2="Complete"</formula>
    </cfRule>
    <cfRule type="expression" dxfId="0" priority="3">
      <formula>$H2="In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Lookup_Lists!$A$2:$A$8</xm:f>
          </x14:formula1>
          <xm:sqref>H2:H200</xm:sqref>
        </x14:dataValidation>
        <x14:dataValidation type="list" xr:uid="{00000000-0002-0000-0500-000001000000}">
          <x14:formula1>
            <xm:f>Lookup_Lists!$B$2:$B$5</xm:f>
          </x14:formula1>
          <xm:sqref>I2:I200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4.25"/>
  <cols>
    <col min="1" max="4" width="24" customWidth="1"/>
  </cols>
  <sheetData>
    <row r="1" spans="1:4" ht="15">
      <c r="A1" s="1" t="s">
        <v>44</v>
      </c>
      <c r="B1" s="1" t="s">
        <v>42</v>
      </c>
      <c r="C1" s="1" t="s">
        <v>207</v>
      </c>
      <c r="D1" s="1" t="s">
        <v>84</v>
      </c>
    </row>
    <row r="2" spans="1:4">
      <c r="A2" t="s">
        <v>57</v>
      </c>
      <c r="B2" t="s">
        <v>52</v>
      </c>
      <c r="C2" t="s">
        <v>98</v>
      </c>
      <c r="D2" t="s">
        <v>89</v>
      </c>
    </row>
    <row r="3" spans="1:4">
      <c r="A3" t="s">
        <v>53</v>
      </c>
      <c r="B3" t="s">
        <v>71</v>
      </c>
      <c r="C3" t="s">
        <v>90</v>
      </c>
      <c r="D3" t="s">
        <v>103</v>
      </c>
    </row>
    <row r="4" spans="1:4">
      <c r="A4" t="s">
        <v>208</v>
      </c>
      <c r="B4" t="s">
        <v>209</v>
      </c>
      <c r="C4" t="s">
        <v>97</v>
      </c>
      <c r="D4" t="s">
        <v>210</v>
      </c>
    </row>
    <row r="5" spans="1:4">
      <c r="A5" t="s">
        <v>211</v>
      </c>
      <c r="B5" t="s">
        <v>212</v>
      </c>
      <c r="D5" t="s">
        <v>213</v>
      </c>
    </row>
    <row r="6" spans="1:4">
      <c r="A6" t="s">
        <v>214</v>
      </c>
    </row>
    <row r="7" spans="1:4">
      <c r="A7" t="s">
        <v>215</v>
      </c>
    </row>
    <row r="8" spans="1:4">
      <c r="A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Task_Register</vt:lpstr>
      <vt:lpstr>File_Mirroring</vt:lpstr>
      <vt:lpstr>Data_Inventory</vt:lpstr>
      <vt:lpstr>Standards_Compliance</vt:lpstr>
      <vt:lpstr>QAQC_Register</vt:lpstr>
      <vt:lpstr>Lookup_Lists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Schellinger</dc:creator>
  <cp:lastModifiedBy>Kent Schellinger</cp:lastModifiedBy>
  <dcterms:created xsi:type="dcterms:W3CDTF">2026-06-08T13:57:17Z</dcterms:created>
  <dcterms:modified xsi:type="dcterms:W3CDTF">2026-06-15T18:00:03Z</dcterms:modified>
</cp:coreProperties>
</file>